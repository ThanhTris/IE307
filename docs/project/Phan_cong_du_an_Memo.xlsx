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97a7c0599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c62d03c3e3074c0c"/>
    <x:sheet xmlns:r="http://schemas.openxmlformats.org/officeDocument/2006/relationships" name="Phân công" sheetId="2" r:id="Reaba8401ddfa462f"/>
    <x:sheet xmlns:r="http://schemas.openxmlformats.org/officeDocument/2006/relationships" name="Roadmap" sheetId="3" r:id="R5e80f197fc4d46b1"/>
    <x:sheet xmlns:r="http://schemas.openxmlformats.org/officeDocument/2006/relationships" name="Backlog" sheetId="4" r:id="R2c542bc0229d456f"/>
    <x:sheet xmlns:r="http://schemas.openxmlformats.org/officeDocument/2006/relationships" name="Theo dõi" sheetId="5" r:id="R947b626b829e4dac"/>
    <x:sheet xmlns:r="http://schemas.openxmlformats.org/officeDocument/2006/relationships" name="RACI" sheetId="6" r:id="Rd713227c0944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6"/>
      <x:color rgb="FF17324D"/>
      <x:name val="Arial"/>
    </x:font>
    <x:font>
      <x:i/>
      <x:sz val="10"/>
      <x:color rgb="FF5F6B7A"/>
      <x:name val="Arial"/>
    </x:font>
    <x:font>
      <x:b/>
      <x:sz val="10"/>
      <x:color rgb="FFFFFFFF"/>
      <x:name val="Arial"/>
    </x:font>
    <x:font>
      <x:sz val="10"/>
      <x:color rgb="FF17202A"/>
      <x:name val="Arial"/>
    </x:font>
    <x:font>
      <x:b/>
      <x:sz val="10"/>
      <x:color rgb="FF17324D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F"/>
      </x:patternFill>
    </x:fill>
    <x:fill>
      <x:patternFill patternType="solid">
        <x:fgColor rgb="FFFFF4D6"/>
      </x:patternFill>
    </x:fill>
    <x:fill>
      <x:patternFill patternType="solid">
        <x:fgColor rgb="FFF4F6F8"/>
      </x:patternFill>
    </x:fill>
  </x:fills>
  <x:borders count="4">
    <x:border/>
    <x:border>
      <x:bottom style="thin">
        <x:color rgb="FFD9DE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0" xfId="0" applyNumberFormat="1" applyFont="1" applyFill="1" applyBorder="1"/>
    <x:xf numFmtId="0" fontId="4" fillId="0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F7A5A"/>
      </x:font>
      <x:fill>
        <x:patternFill patternType="solid">
          <x:bgColor rgb="FFE8F5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6BFF"/>
      </x:font>
      <x:fill>
        <x:patternFill patternType="solid">
          <x:bgColor rgb="FFEAF0FF"/>
        </x:patternFill>
      </x:fill>
    </x:dxf>
    <x:dxf>
      <x:font>
        <x:b/>
        <x:color rgb="FFB86E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01d680e02442c" /><Relationship Type="http://schemas.openxmlformats.org/officeDocument/2006/relationships/theme" Target="/xl/theme/theme1.xml" Id="R87d36f924f774c72" /><Relationship Type="http://schemas.openxmlformats.org/officeDocument/2006/relationships/sharedStrings" Target="/xl/sharedStrings.xml" Id="R6a768360014d4f2b" /><Relationship Type="http://schemas.openxmlformats.org/officeDocument/2006/relationships/worksheet" Target="/xl/worksheets/sheet1.xml" Id="Rc62d03c3e3074c0c" /><Relationship Type="http://schemas.openxmlformats.org/officeDocument/2006/relationships/worksheet" Target="/xl/worksheets/sheet2.xml" Id="Reaba8401ddfa462f" /><Relationship Type="http://schemas.openxmlformats.org/officeDocument/2006/relationships/worksheet" Target="/xl/worksheets/sheet3.xml" Id="R5e80f197fc4d46b1" /><Relationship Type="http://schemas.openxmlformats.org/officeDocument/2006/relationships/worksheet" Target="/xl/worksheets/sheet4.xml" Id="R2c542bc0229d456f" /><Relationship Type="http://schemas.openxmlformats.org/officeDocument/2006/relationships/worksheet" Target="/xl/worksheets/sheet5.xml" Id="R947b626b829e4dac" /><Relationship Type="http://schemas.openxmlformats.org/officeDocument/2006/relationships/worksheet" Target="/xl/worksheets/sheet6.xml" Id="Rd713227c09444c61" /></Relationships>
</file>

<file path=xl/tables/table1.xml><?xml version="1.0" encoding="utf-8"?>
<x:table xmlns:x="http://schemas.openxmlformats.org/spreadsheetml/2006/main" id="1" name="TeamAssignments" displayName="TeamAssignments" ref="A4:G10" headerRowCount="1" totalsRowCount="0" totalsRowShown="0">
  <x:tableColumns count="7">
    <x:tableColumn id="1" name="Thành viên"/>
    <x:tableColumn id="2" name="Vai trò chính"/>
    <x:tableColumn id="3" name="Vai trò phụ"/>
    <x:tableColumn id="4" name="Trách nhiệm trọng tâm"/>
    <x:tableColumn id="5" name="Accountable"/>
    <x:tableColumn id="6" name="Reviewer chính"/>
    <x:tableColumn id="7" name="Phối hợ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Roadmap" displayName="ProjectRoadmap" ref="A4:G13" headerRowCount="1" totalsRowCount="0" totalsRowShown="0">
  <x:tableColumns count="7">
    <x:tableColumn id="1" name="Giai đoạn"/>
    <x:tableColumn id="2" name="Bắt đầu"/>
    <x:tableColumn id="3" name="Kết thúc"/>
    <x:tableColumn id="4" name="Kết quả bắt buộc"/>
    <x:tableColumn id="5" name="Cổng nghiệm thu"/>
    <x:tableColumn id="6" name="Owner"/>
    <x:tableColumn id="7" name="Trạng thá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Backlog" displayName="ProjectBacklog" ref="A4:N45" headerRowCount="1" totalsRowCount="0" totalsRowShown="0">
  <x:tableColumns count="14">
    <x:tableColumn id="1" name="ID"/>
    <x:tableColumn id="2" name="Giai đoạn"/>
    <x:tableColumn id="3" name="Task"/>
    <x:tableColumn id="4" name="Mô tả"/>
    <x:tableColumn id="5" name="Owner"/>
    <x:tableColumn id="6" name="Reviewer"/>
    <x:tableColumn id="7" name="Bắt đầu"/>
    <x:tableColumn id="8" name="Hạn"/>
    <x:tableColumn id="9" name="Ưu tiên"/>
    <x:tableColumn id="10" name="Trạng thái"/>
    <x:tableColumn id="11" name="Phụ thuộc"/>
    <x:tableColumn id="12" name="Acceptance criteria"/>
    <x:tableColumn id="13" name="Evidence"/>
    <x:tableColumn id="14" name="Mục báo cá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ciMatrix" displayName="RaciMatrix" ref="A4:G12" headerRowCount="1" totalsRowCount="0" totalsRowShown="0">
  <x:tableColumns count="7">
    <x:tableColumn id="1" name="Workstream"/>
    <x:tableColumn id="2" name="Trí"/>
    <x:tableColumn id="3" name="Trang"/>
    <x:tableColumn id="4" name="Tâm"/>
    <x:tableColumn id="5" name="Vinh"/>
    <x:tableColumn id="6" name="Trung"/>
    <x:tableColumn id="7" name="Tuấ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a0cde7552044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dbeb710c8742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5f8d18f0604b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28bbb6ef4a14e3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2" t="str">
        <x:v>Kế hoạch dự án Memo Vocabulary</x:v>
      </x:c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Giai đoạn 24/09/2026-23/11/2026 | Release candidate 15/11/2026</x:v>
      </x:c>
      <x:c r="B2" s="3"/>
      <x:c r="C2" s="3"/>
      <x:c r="D2" s="3"/>
      <x:c r="E2" s="3"/>
      <x:c r="F2" s="3"/>
      <x:c r="G2" s="3"/>
      <x:c r="H2" s="3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 ht="32" customHeight="1">
      <x:c r="A5" s="10" t="str">
        <x:v>Thuộc tính</x:v>
      </x:c>
      <x:c r="B5" s="10" t="str">
        <x:v>Nội dung</x:v>
      </x:c>
      <x:c r="C5" s="20"/>
      <x:c r="D5" s="10" t="str">
        <x:v>Chỉ số</x:v>
      </x:c>
      <x:c r="E5" s="10" t="str">
        <x:v>Tổng</x:v>
      </x:c>
      <x:c r="F5" s="10" t="str">
        <x:v>Chưa bắt đầu</x:v>
      </x:c>
      <x:c r="G5" s="10" t="str">
        <x:v>Đang thực hiện</x:v>
      </x:c>
      <x:c r="H5" s="10" t="str">
        <x:v>Hoàn thành</x:v>
      </x:c>
    </x:row>
    <x:row r="6">
      <x:c r="A6" s="13" t="str">
        <x:v>Sản phẩm</x:v>
      </x:c>
      <x:c r="B6" s="13" t="str">
        <x:v>Ứng dụng flashcard React Native cho Android và iOS</x:v>
      </x:c>
      <x:c r="C6" s="20"/>
      <x:c r="D6" s="13" t="str">
        <x:v>Task</x:v>
      </x:c>
      <x:c r="E6" s="13" t="n">
        <x:f>COUNTA('Backlog'!A5:A200)</x:f>
        <x:v>41</x:v>
      </x:c>
      <x:c r="F6" s="13" t="n">
        <x:f>COUNTIFS('Backlog'!J5:J200,"Chưa bắt đầu")</x:f>
        <x:v>39</x:v>
      </x:c>
      <x:c r="G6" s="13" t="n">
        <x:f>COUNTIFS('Backlog'!J5:J200,"Đang làm")+COUNTIFS('Backlog'!J5:J200,"Đang review")</x:f>
        <x:v>2</x:v>
      </x:c>
      <x:c r="H6" s="13" t="n">
        <x:f>COUNTIFS('Backlog'!J5:J200,"Hoàn thành")</x:f>
        <x:v>0</x:v>
      </x:c>
    </x:row>
    <x:row r="7">
      <x:c r="A7" s="13" t="str">
        <x:v>Quy trình</x:v>
      </x:c>
      <x:c r="B7" s="13" t="str">
        <x:v>AI Driven Development có human review và evidence</x:v>
      </x:c>
      <x:c r="C7" s="20"/>
      <x:c r="D7" s="13" t="str">
        <x:v>Thành viên</x:v>
      </x:c>
      <x:c r="E7" s="13" t="n">
        <x:v>6</x:v>
      </x:c>
      <x:c r="F7" s="13"/>
      <x:c r="G7" s="13"/>
      <x:c r="H7" s="13"/>
    </x:row>
    <x:row r="8">
      <x:c r="A8" s="13" t="str">
        <x:v>Mobile</x:v>
      </x:c>
      <x:c r="B8" s="13" t="str">
        <x:v>Expo Development Build, TypeScript, Expo Router</x:v>
      </x:c>
      <x:c r="C8" s="20"/>
      <x:c r="D8" s="13" t="str">
        <x:v>Tuần thực hiện</x:v>
      </x:c>
      <x:c r="E8" s="13" t="n">
        <x:v>7</x:v>
      </x:c>
      <x:c r="F8" s="13"/>
      <x:c r="G8" s="13"/>
      <x:c r="H8" s="13"/>
    </x:row>
    <x:row r="9">
      <x:c r="A9" s="13" t="str">
        <x:v>Dữ liệu</x:v>
      </x:c>
      <x:c r="B9" s="13" t="str">
        <x:v>SQLite offline; card fields JSON; PostgreSQL JSONB</x:v>
      </x:c>
      <x:c r="C9" s="20"/>
      <x:c r="D9" s="13" t="str">
        <x:v>Ngày buffer</x:v>
      </x:c>
      <x:c r="E9" s="13" t="n">
        <x:v>9</x:v>
      </x:c>
      <x:c r="F9" s="13"/>
      <x:c r="G9" s="13"/>
      <x:c r="H9" s="13"/>
    </x:row>
    <x:row r="10">
      <x:c r="A10" s="13" t="str">
        <x:v>Backend</x:v>
      </x:c>
      <x:c r="B10" s="13" t="str">
        <x:v>Supabase Auth, RLS, API/Edge Functions</x:v>
      </x:c>
      <x:c r="C10" s="20"/>
      <x:c r="D10" s="20"/>
      <x:c r="E10" s="20"/>
      <x:c r="F10" s="20"/>
      <x:c r="G10" s="20"/>
      <x:c r="H10" s="20"/>
    </x:row>
    <x:row r="11">
      <x:c r="A11" s="13" t="str">
        <x:v>Mốc RC</x:v>
      </x:c>
      <x:c r="B11" s="14" t="n">
        <x:v>46341</x:v>
      </x:c>
      <x:c r="C11" s="20"/>
      <x:c r="D11" s="20"/>
      <x:c r="E11" s="20"/>
      <x:c r="F11" s="20"/>
      <x:c r="G11" s="20"/>
      <x:c r="H11" s="20"/>
    </x:row>
    <x:row r="12">
      <x:c r="A12" s="13" t="str">
        <x:v>Mốc kết thúc buffer</x:v>
      </x:c>
      <x:c r="B12" s="14" t="n">
        <x:v>46349</x:v>
      </x:c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 ht="36" customHeight="1">
      <x:c r="A14" s="18" t="str">
        <x:v>Release gate: dữ liệu và backup đúng, RLS đạt, E2E release build đạt, không còn blocker/critical, báo cáo/slide/demo có evidence.</x:v>
      </x:c>
      <x:c r="B14" s="18"/>
      <x:c r="C14" s="18"/>
      <x:c r="D14" s="18"/>
      <x:c r="E14" s="18"/>
      <x:c r="F14" s="18"/>
      <x:c r="G14" s="18"/>
      <x:c r="H14" s="18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B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" t="str">
        <x:v>Phân công sáu thành viên</x:v>
      </x:c>
      <x:c r="B1" s="2"/>
      <x:c r="C1" s="2"/>
      <x:c r="D1" s="2"/>
      <x:c r="E1" s="2"/>
      <x:c r="F1" s="2"/>
      <x:c r="G1" s="2"/>
    </x:row>
    <x:row r="2" ht="22" customHeight="1">
      <x:c r="A2" s="3" t="str">
        <x:v>Owner chịu trách nhiệm kết quả; reviewer xác nhận độc lập</x:v>
      </x:c>
      <x:c r="B2" s="3"/>
      <x:c r="C2" s="3"/>
      <x:c r="D2" s="3"/>
      <x:c r="E2" s="3"/>
      <x:c r="F2" s="3"/>
      <x:c r="G2" s="3"/>
    </x:row>
    <x:row r="3">
      <x:c r="A3" s="4"/>
      <x:c r="B3" s="4"/>
      <x:c r="C3" s="4"/>
      <x:c r="D3" s="4"/>
      <x:c r="E3" s="4"/>
      <x:c r="F3" s="4"/>
      <x:c r="G3" s="4"/>
    </x:row>
    <x:row r="4" ht="15" hidden="0" customHeight="1">
      <x:c r="A4" s="10" t="str">
        <x:v>Thành viên</x:v>
      </x:c>
      <x:c r="B4" s="10" t="str">
        <x:v>Vai trò chính</x:v>
      </x:c>
      <x:c r="C4" s="10" t="str">
        <x:v>Vai trò phụ</x:v>
      </x:c>
      <x:c r="D4" s="10" t="str">
        <x:v>Trách nhiệm trọng tâm</x:v>
      </x:c>
      <x:c r="E4" s="10" t="str">
        <x:v>Accountable</x:v>
      </x:c>
      <x:c r="F4" s="10" t="str">
        <x:v>Reviewer chính</x:v>
      </x:c>
      <x:c r="G4" s="10" t="str">
        <x:v>Phối hợp</x:v>
      </x:c>
    </x:row>
    <x:row r="5" ht="15" hidden="0" customHeight="1">
      <x:c r="A5" s="21" t="str">
        <x:v>Trí</x:v>
      </x:c>
      <x:c r="B5" s="21" t="str">
        <x:v>Fullstack lead</x:v>
      </x:c>
      <x:c r="C5" s="21" t="str">
        <x:v>Mobile reviewer</x:v>
      </x:c>
      <x:c r="D5" s="21" t="str">
        <x:v>Kiến trúc mobile; Expo; navigation; study; tích hợp</x:v>
      </x:c>
      <x:c r="E5" s="21" t="str">
        <x:v>Trí</x:v>
      </x:c>
      <x:c r="F5" s="21" t="str">
        <x:v>Trang</x:v>
      </x:c>
      <x:c r="G5" s="21" t="str">
        <x:v>Tâm; Tuấn</x:v>
      </x:c>
    </x:row>
    <x:row r="6" ht="15" hidden="0" customHeight="1">
      <x:c r="A6" s="21" t="str">
        <x:v>Trang</x:v>
      </x:c>
      <x:c r="B6" s="21" t="str">
        <x:v>Fullstack</x:v>
      </x:c>
      <x:c r="C6" s="21" t="str">
        <x:v>Release owner</x:v>
      </x:c>
      <x:c r="D6" s="21" t="str">
        <x:v>Supabase; auth; API; sync; Android/iOS release</x:v>
      </x:c>
      <x:c r="E6" s="21" t="str">
        <x:v>Trang</x:v>
      </x:c>
      <x:c r="F6" s="21" t="str">
        <x:v>Trí</x:v>
      </x:c>
      <x:c r="G6" s="21" t="str">
        <x:v>Tâm</x:v>
      </x:c>
    </x:row>
    <x:row r="7" ht="15" hidden="0" customHeight="1">
      <x:c r="A7" s="21" t="str">
        <x:v>Tâm</x:v>
      </x:c>
      <x:c r="B7" s="21" t="str">
        <x:v>Data</x:v>
      </x:c>
      <x:c r="C7" s="21" t="str">
        <x:v>Backend reviewer</x:v>
      </x:c>
      <x:c r="D7" s="21" t="str">
        <x:v>JSON schema; SQLite/PostgreSQL; migration; RLS data rules</x:v>
      </x:c>
      <x:c r="E7" s="21" t="str">
        <x:v>Tâm</x:v>
      </x:c>
      <x:c r="F7" s="21" t="str">
        <x:v>Vinh</x:v>
      </x:c>
      <x:c r="G7" s="21" t="str">
        <x:v>Trí; Trang</x:v>
      </x:c>
    </x:row>
    <x:row r="8" ht="15" hidden="0" customHeight="1">
      <x:c r="A8" s="21" t="str">
        <x:v>Vinh</x:v>
      </x:c>
      <x:c r="B8" s="21" t="str">
        <x:v>Data</x:v>
      </x:c>
      <x:c r="C8" s="21" t="str">
        <x:v>Test data owner</x:v>
      </x:c>
      <x:c r="D8" s="21" t="str">
        <x:v>Import; fixture; scheduler metrics; analytics; data QA</x:v>
      </x:c>
      <x:c r="E8" s="21" t="str">
        <x:v>Vinh</x:v>
      </x:c>
      <x:c r="F8" s="21" t="str">
        <x:v>Tâm</x:v>
      </x:c>
      <x:c r="G8" s="21" t="str">
        <x:v>Trang; Trung</x:v>
      </x:c>
    </x:row>
    <x:row r="9" ht="15" hidden="0" customHeight="1">
      <x:c r="A9" s="21" t="str">
        <x:v>Trung</x:v>
      </x:c>
      <x:c r="B9" s="21" t="str">
        <x:v>Product và QA</x:v>
      </x:c>
      <x:c r="C9" s="21" t="str">
        <x:v>Report lead</x:v>
      </x:c>
      <x:c r="D9" s="21" t="str">
        <x:v>PRD; backlog; acceptance test; khảo sát; LaTeX; gói nộp</x:v>
      </x:c>
      <x:c r="E9" s="21" t="str">
        <x:v>Trung</x:v>
      </x:c>
      <x:c r="F9" s="21" t="str">
        <x:v>Trí</x:v>
      </x:c>
      <x:c r="G9" s="21" t="str">
        <x:v>Tuấn; Vinh</x:v>
      </x:c>
    </x:row>
    <x:row r="10" ht="15" hidden="0" customHeight="1">
      <x:c r="A10" s="21" t="str">
        <x:v>Tuấn</x:v>
      </x:c>
      <x:c r="B10" s="21" t="str">
        <x:v>UI UX và QA</x:v>
      </x:c>
      <x:c r="C10" s="21" t="str">
        <x:v>Slide và demo lead</x:v>
      </x:c>
      <x:c r="D10" s="21" t="str">
        <x:v>UI; responsive; accessibility; slide; demo; visual QA</x:v>
      </x:c>
      <x:c r="E10" s="21" t="str">
        <x:v>Tuấn</x:v>
      </x:c>
      <x:c r="F10" s="21" t="str">
        <x:v>Trung</x:v>
      </x:c>
      <x:c r="G10" s="21" t="str">
        <x:v>Trí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9a0cde7552044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46" hidden="0" customWidth="1"/>
    <x:col min="5" max="5" width="38" hidden="0" customWidth="1"/>
    <x:col min="6" max="6" width="18" hidden="0" customWidth="1"/>
    <x:col min="7" max="7" width="18" hidden="0" customWidth="1"/>
  </x:cols>
  <x:sheetData>
    <x:row r="1" ht="28" customHeight="1">
      <x:c r="A1" s="2" t="str">
        <x:v>Roadmap tám tuần</x:v>
      </x:c>
      <x:c r="B1" s="2"/>
      <x:c r="C1" s="2"/>
      <x:c r="D1" s="2"/>
      <x:c r="E1" s="2"/>
      <x:c r="F1" s="2"/>
      <x:c r="G1" s="2"/>
    </x:row>
    <x:row r="2" ht="22" customHeight="1">
      <x:c r="A2" s="3" t="str">
        <x:v>Mục tiêu hoàn thành RC trước hạn để còn thời gian kiểm tra và sửa lỗi</x:v>
      </x:c>
      <x:c r="B2" s="3"/>
      <x:c r="C2" s="3"/>
      <x:c r="D2" s="3"/>
      <x:c r="E2" s="3"/>
      <x:c r="F2" s="3"/>
      <x:c r="G2" s="3"/>
    </x:row>
    <x:row r="3">
      <x:c r="A3" s="4"/>
      <x:c r="B3" s="4"/>
      <x:c r="C3" s="4"/>
      <x:c r="D3" s="4"/>
      <x:c r="E3" s="4"/>
      <x:c r="F3" s="4"/>
      <x:c r="G3" s="4"/>
    </x:row>
    <x:row r="4" ht="32" customHeight="1">
      <x:c r="A4" s="10" t="str">
        <x:v>Giai đoạn</x:v>
      </x:c>
      <x:c r="B4" s="10" t="str">
        <x:v>Bắt đầu</x:v>
      </x:c>
      <x:c r="C4" s="10" t="str">
        <x:v>Kết thúc</x:v>
      </x:c>
      <x:c r="D4" s="10" t="str">
        <x:v>Kết quả bắt buộc</x:v>
      </x:c>
      <x:c r="E4" s="10" t="str">
        <x:v>Cổng nghiệm thu</x:v>
      </x:c>
      <x:c r="F4" s="10" t="str">
        <x:v>Owner</x:v>
      </x:c>
      <x:c r="G4" s="10" t="str">
        <x:v>Trạng thái</x:v>
      </x:c>
    </x:row>
    <x:row r="5">
      <x:c r="A5" s="21" t="str">
        <x:v>Chuẩn bị</x:v>
      </x:c>
      <x:c r="B5" s="22" t="n">
        <x:v>46289</x:v>
      </x:c>
      <x:c r="C5" s="22" t="n">
        <x:v>46292</x:v>
      </x:c>
      <x:c r="D5" s="21" t="str">
        <x:v>Repo, plan, AIDD, PRD, kiến trúc, task sheet</x:v>
      </x:c>
      <x:c r="E5" s="21" t="str">
        <x:v>Phạm vi và owner được xác nhận</x:v>
      </x:c>
      <x:c r="F5" s="21" t="str">
        <x:v>Trung</x:v>
      </x:c>
      <x:c r="G5" s="21" t="str">
        <x:v>Đang review</x:v>
      </x:c>
    </x:row>
    <x:row r="6">
      <x:c r="A6" s="21" t="str">
        <x:v>Tuần 1</x:v>
      </x:c>
      <x:c r="B6" s="22" t="n">
        <x:v>46293</x:v>
      </x:c>
      <x:c r="C6" s="22" t="n">
        <x:v>46299</x:v>
      </x:c>
      <x:c r="D6" s="21" t="str">
        <x:v>Expo app, navigation, tokens, SQLite/Supabase skeleton, LaTeX</x:v>
      </x:c>
      <x:c r="E6" s="21" t="str">
        <x:v>App chạy Android và iOS</x:v>
      </x:c>
      <x:c r="F6" s="21" t="str">
        <x:v>Trí; Trang</x:v>
      </x:c>
      <x:c r="G6" s="21" t="str">
        <x:v>Chưa bắt đầu</x:v>
      </x:c>
    </x:row>
    <x:row r="7">
      <x:c r="A7" s="21" t="str">
        <x:v>Tuần 2</x:v>
      </x:c>
      <x:c r="B7" s="22" t="n">
        <x:v>46300</x:v>
      </x:c>
      <x:c r="C7" s="22" t="n">
        <x:v>46306</x:v>
      </x:c>
      <x:c r="D7" s="21" t="str">
        <x:v>JSON schema, CRUD, import CSV/Excel/text và preview</x:v>
      </x:c>
      <x:c r="E7" s="21" t="str">
        <x:v>Import 100 thẻ và rollback đúng</x:v>
      </x:c>
      <x:c r="F7" s="21" t="str">
        <x:v>Tâm; Vinh</x:v>
      </x:c>
      <x:c r="G7" s="21" t="str">
        <x:v>Chưa bắt đầu</x:v>
      </x:c>
    </x:row>
    <x:row r="8">
      <x:c r="A8" s="21" t="str">
        <x:v>Tuần 3</x:v>
      </x:c>
      <x:c r="B8" s="22" t="n">
        <x:v>46307</x:v>
      </x:c>
      <x:c r="C8" s="22" t="n">
        <x:v>46313</x:v>
      </x:c>
      <x:c r="D8" s="21" t="str">
        <x:v>Study, scheduler, review history và tests</x:v>
      </x:c>
      <x:c r="E8" s="21" t="str">
        <x:v>Rating sinh lịch đúng fixture</x:v>
      </x:c>
      <x:c r="F8" s="21" t="str">
        <x:v>Trí; Tâm</x:v>
      </x:c>
      <x:c r="G8" s="21" t="str">
        <x:v>Chưa bắt đầu</x:v>
      </x:c>
    </x:row>
    <x:row r="9">
      <x:c r="A9" s="21" t="str">
        <x:v>Tuần 4</x:v>
      </x:c>
      <x:c r="B9" s="22" t="n">
        <x:v>46314</x:v>
      </x:c>
      <x:c r="C9" s="22" t="n">
        <x:v>46320</x:v>
      </x:c>
      <x:c r="D9" s="21" t="str">
        <x:v>Ba game, game policy và progress</x:v>
      </x:c>
      <x:c r="E9" s="21" t="str">
        <x:v>Game không làm sai dữ liệu SRS</x:v>
      </x:c>
      <x:c r="F9" s="21" t="str">
        <x:v>Tuấn; Vinh</x:v>
      </x:c>
      <x:c r="G9" s="21" t="str">
        <x:v>Chưa bắt đầu</x:v>
      </x:c>
    </x:row>
    <x:row r="10">
      <x:c r="A10" s="21" t="str">
        <x:v>Tuần 5</x:v>
      </x:c>
      <x:c r="B10" s="22" t="n">
        <x:v>46321</x:v>
      </x:c>
      <x:c r="C10" s="22" t="n">
        <x:v>46327</x:v>
      </x:c>
      <x:c r="D10" s="21" t="str">
        <x:v>Auth, RLS, offline queue, sync/conflict, backup</x:v>
      </x:c>
      <x:c r="E10" s="21" t="str">
        <x:v>Hai thiết bị không mất dữ liệu</x:v>
      </x:c>
      <x:c r="F10" s="21" t="str">
        <x:v>Trang; Tâm</x:v>
      </x:c>
      <x:c r="G10" s="21" t="str">
        <x:v>Chưa bắt đầu</x:v>
      </x:c>
    </x:row>
    <x:row r="11">
      <x:c r="A11" s="21" t="str">
        <x:v>Tuần 6</x:v>
      </x:c>
      <x:c r="B11" s="22" t="n">
        <x:v>46328</x:v>
      </x:c>
      <x:c r="C11" s="22" t="n">
        <x:v>46334</x:v>
      </x:c>
      <x:c r="D11" s="21" t="str">
        <x:v>Accessibility, responsive, performance, E2E, store assets</x:v>
      </x:c>
      <x:c r="E11" s="21" t="str">
        <x:v>Không còn blocker/critical</x:v>
      </x:c>
      <x:c r="F11" s="21" t="str">
        <x:v>Toàn nhóm</x:v>
      </x:c>
      <x:c r="G11" s="21" t="str">
        <x:v>Chưa bắt đầu</x:v>
      </x:c>
    </x:row>
    <x:row r="12">
      <x:c r="A12" s="21" t="str">
        <x:v>Tuần 7</x:v>
      </x:c>
      <x:c r="B12" s="22" t="n">
        <x:v>46335</x:v>
      </x:c>
      <x:c r="C12" s="22" t="n">
        <x:v>46341</x:v>
      </x:c>
      <x:c r="D12" s="21" t="str">
        <x:v>RC, AAB, iOS archive, báo cáo, slide, demo</x:v>
      </x:c>
      <x:c r="E12" s="21" t="str">
        <x:v>RC đóng băng; rehearsal đạt</x:v>
      </x:c>
      <x:c r="F12" s="21" t="str">
        <x:v>Toàn nhóm</x:v>
      </x:c>
      <x:c r="G12" s="21" t="str">
        <x:v>Chưa bắt đầu</x:v>
      </x:c>
    </x:row>
    <x:row r="13">
      <x:c r="A13" s="21" t="str">
        <x:v>Buffer</x:v>
      </x:c>
      <x:c r="B13" s="22" t="n">
        <x:v>46342</x:v>
      </x:c>
      <x:c r="C13" s="22" t="n">
        <x:v>46349</x:v>
      </x:c>
      <x:c r="D13" s="21" t="str">
        <x:v>Sửa lỗi, kiểm tra chéo, hoàn thiện ZIP</x:v>
      </x:c>
      <x:c r="E13" s="21" t="str">
        <x:v>Checklist nộp đạt 100%</x:v>
      </x:c>
      <x:c r="F13" s="21" t="str">
        <x:v>Toàn nhóm</x:v>
      </x:c>
      <x:c r="G13" s="21" t="str">
        <x:v>Chưa bắt đầu</x:v>
      </x:c>
    </x:row>
  </x:sheetData>
  <x:mergeCells>
    <x:mergeCell ref="A1:G1"/>
    <x:mergeCell ref="A2:G2"/>
  </x:mergeCells>
  <x:dataValidations count="1">
    <x:dataValidation type="list" sqref="G5:G13">
      <x:formula1>"Chưa bắt đầu,Đang làm,Đang review,Bị chặn,Hoàn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dbeb710c8742b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46" hidden="0" customWidth="1"/>
    <x:col min="5" max="5" width="13" hidden="0" customWidth="1"/>
    <x:col min="6" max="6" width="16" hidden="0" customWidth="1"/>
    <x:col min="7" max="7" width="13" hidden="0" customWidth="1"/>
    <x:col min="8" max="8" width="13" hidden="0" customWidth="1"/>
    <x:col min="9" max="9" width="10" hidden="0" customWidth="1"/>
    <x:col min="10" max="10" width="16" hidden="0" customWidth="1"/>
    <x:col min="11" max="11" width="24" hidden="0" customWidth="1"/>
    <x:col min="12" max="12" width="48" hidden="0" customWidth="1"/>
    <x:col min="13" max="13" width="28" hidden="0" customWidth="1"/>
    <x:col min="14" max="14" width="14" hidden="0" customWidth="1"/>
  </x:cols>
  <x:sheetData>
    <x:row r="1" ht="28" customHeight="1">
      <x:c r="A1" s="2" t="str">
        <x:v>Backlog và theo dõi task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Cập nhật Owner, Reviewer, ngày và Trạng thái; không đánh dấu Hoàn thành trước khi review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5" hidden="0" customHeight="1">
      <x:c r="A4" s="10" t="str">
        <x:v>ID</x:v>
      </x:c>
      <x:c r="B4" s="10" t="str">
        <x:v>Giai đoạn</x:v>
      </x:c>
      <x:c r="C4" s="10" t="str">
        <x:v>Task</x:v>
      </x:c>
      <x:c r="D4" s="10" t="str">
        <x:v>Mô tả</x:v>
      </x:c>
      <x:c r="E4" s="10" t="str">
        <x:v>Owner</x:v>
      </x:c>
      <x:c r="F4" s="10" t="str">
        <x:v>Reviewer</x:v>
      </x:c>
      <x:c r="G4" s="10" t="str">
        <x:v>Bắt đầu</x:v>
      </x:c>
      <x:c r="H4" s="10" t="str">
        <x:v>Hạn</x:v>
      </x:c>
      <x:c r="I4" s="10" t="str">
        <x:v>Ưu tiên</x:v>
      </x:c>
      <x:c r="J4" s="10" t="str">
        <x:v>Trạng thái</x:v>
      </x:c>
      <x:c r="K4" s="10" t="str">
        <x:v>Phụ thuộc</x:v>
      </x:c>
      <x:c r="L4" s="10" t="str">
        <x:v>Acceptance criteria</x:v>
      </x:c>
      <x:c r="M4" s="10" t="str">
        <x:v>Evidence</x:v>
      </x:c>
      <x:c r="N4" s="10" t="str">
        <x:v>Mục báo cáo</x:v>
      </x:c>
    </x:row>
    <x:row r="5" ht="15" hidden="0" customHeight="1">
      <x:c r="A5" s="21" t="str">
        <x:v>PM-001</x:v>
      </x:c>
      <x:c r="B5" s="21" t="str">
        <x:v>Chuẩn bị</x:v>
      </x:c>
      <x:c r="C5" s="21" t="str">
        <x:v>Kế hoạch và cấu trúc dự án</x:v>
      </x:c>
      <x:c r="D5" s="21" t="str">
        <x:v>Plan, AIDD, PRD, kiến trúc, specs và task lifecycle</x:v>
      </x:c>
      <x:c r="E5" s="21" t="str">
        <x:v>Trung</x:v>
      </x:c>
      <x:c r="F5" s="21" t="str">
        <x:v>Trí</x:v>
      </x:c>
      <x:c r="G5" s="22" t="n">
        <x:v>46289</x:v>
      </x:c>
      <x:c r="H5" s="22" t="n">
        <x:v>46289</x:v>
      </x:c>
      <x:c r="I5" s="21" t="str">
        <x:v>P0</x:v>
      </x:c>
      <x:c r="J5" s="23" t="str">
        <x:v>Đang review</x:v>
      </x:c>
      <x:c r="K5" s="21" t="str">
        <x:v>-</x:v>
      </x:c>
      <x:c r="L5" s="21" t="str">
        <x:v>Reviewer xác nhận tài liệu đủ để bắt đầu sprint</x:v>
      </x:c>
      <x:c r="M5" s="21" t="str">
        <x:v>docs/project; docs/specs</x:v>
      </x:c>
      <x:c r="N5" s="21" t="str">
        <x:v>Phụ lục</x:v>
      </x:c>
    </x:row>
    <x:row r="6" ht="24" hidden="0" customHeight="1">
      <x:c r="A6" s="21" t="str">
        <x:v>PM-002</x:v>
      </x:c>
      <x:c r="B6" s="21" t="str">
        <x:v>Chuẩn bị</x:v>
      </x:c>
      <x:c r="C6" s="21" t="str">
        <x:v>Workbook phân công</x:v>
      </x:c>
      <x:c r="D6" s="21" t="str">
        <x:v>Owner, reviewer, roadmap, backlog, RACI và dashboard</x:v>
      </x:c>
      <x:c r="E6" s="21" t="str">
        <x:v>Trung</x:v>
      </x:c>
      <x:c r="F6" s="21" t="str">
        <x:v>Trí</x:v>
      </x:c>
      <x:c r="G6" s="22" t="n">
        <x:v>46289</x:v>
      </x:c>
      <x:c r="H6" s="22" t="n">
        <x:v>46289</x:v>
      </x:c>
      <x:c r="I6" s="21" t="str">
        <x:v>P0</x:v>
      </x:c>
      <x:c r="J6" s="23" t="str">
        <x:v>Đang review</x:v>
      </x:c>
      <x:c r="K6" s="21" t="str">
        <x:v>PM-001</x:v>
      </x:c>
      <x:c r="L6" s="21" t="str">
        <x:v>Workbook mở được, dễ lọc và công thức không lỗi</x:v>
      </x:c>
      <x:c r="M6" s="21" t="str">
        <x:v>docs/project/Phan_cong_du_an_Memo.xlsx</x:v>
      </x:c>
      <x:c r="N6" s="21" t="str">
        <x:v>Phụ lục</x:v>
      </x:c>
    </x:row>
    <x:row r="7" ht="15" hidden="0" customHeight="1">
      <x:c r="A7" s="21" t="str">
        <x:v>SETUP-001</x:v>
      </x:c>
      <x:c r="B7" s="21" t="str">
        <x:v>Tuần 1</x:v>
      </x:c>
      <x:c r="C7" s="21" t="str">
        <x:v>Khởi tạo Expo workspace</x:v>
      </x:c>
      <x:c r="D7" s="21" t="str">
        <x:v>Expo TypeScript strict và development build</x:v>
      </x:c>
      <x:c r="E7" s="21" t="str">
        <x:v>Trí</x:v>
      </x:c>
      <x:c r="F7" s="21" t="str">
        <x:v>Trang</x:v>
      </x:c>
      <x:c r="G7" s="22" t="n">
        <x:v>46293</x:v>
      </x:c>
      <x:c r="H7" s="22" t="n">
        <x:v>46294</x:v>
      </x:c>
      <x:c r="I7" s="21" t="str">
        <x:v>P0</x:v>
      </x:c>
      <x:c r="J7" s="23" t="str">
        <x:v>Chưa bắt đầu</x:v>
      </x:c>
      <x:c r="K7" s="21" t="str">
        <x:v>PM-001</x:v>
      </x:c>
      <x:c r="L7" s="21" t="str">
        <x:v>App chạy Android và iOS simulator/device</x:v>
      </x:c>
      <x:c r="M7" s="21" t="str">
        <x:v>build log; screenshots</x:v>
      </x:c>
      <x:c r="N7" s="21" t="str">
        <x:v>3.5</x:v>
      </x:c>
    </x:row>
    <x:row r="8" ht="15" hidden="0" customHeight="1">
      <x:c r="A8" s="21" t="str">
        <x:v>SETUP-002</x:v>
      </x:c>
      <x:c r="B8" s="21" t="str">
        <x:v>Tuần 1</x:v>
      </x:c>
      <x:c r="C8" s="21" t="str">
        <x:v>Navigation và môi trường</x:v>
      </x:c>
      <x:c r="D8" s="21" t="str">
        <x:v>Route groups, env strategy và error boundary</x:v>
      </x:c>
      <x:c r="E8" s="21" t="str">
        <x:v>Trí</x:v>
      </x:c>
      <x:c r="F8" s="21" t="str">
        <x:v>Tuấn</x:v>
      </x:c>
      <x:c r="G8" s="22" t="n">
        <x:v>46294</x:v>
      </x:c>
      <x:c r="H8" s="22" t="n">
        <x:v>46296</x:v>
      </x:c>
      <x:c r="I8" s="21" t="str">
        <x:v>P0</x:v>
      </x:c>
      <x:c r="J8" s="23" t="str">
        <x:v>Chưa bắt đầu</x:v>
      </x:c>
      <x:c r="K8" s="21" t="str">
        <x:v>SETUP-001</x:v>
      </x:c>
      <x:c r="L8" s="21" t="str">
        <x:v>Đi qua các route chính và xử lý route lỗi</x:v>
      </x:c>
      <x:c r="M8" s="21" t="str">
        <x:v>navigation test</x:v>
      </x:c>
      <x:c r="N8" s="21" t="str">
        <x:v>3.5</x:v>
      </x:c>
    </x:row>
    <x:row r="9" ht="15" hidden="0" customHeight="1">
      <x:c r="A9" s="21" t="str">
        <x:v>UI-001</x:v>
      </x:c>
      <x:c r="B9" s="21" t="str">
        <x:v>Tuần 1</x:v>
      </x:c>
      <x:c r="C9" s="21" t="str">
        <x:v>Design tokens và UI primitives</x:v>
      </x:c>
      <x:c r="D9" s="21" t="str">
        <x:v>Chuyển màu, spacing, typography và controls từ prototype</x:v>
      </x:c>
      <x:c r="E9" s="21" t="str">
        <x:v>Tuấn</x:v>
      </x:c>
      <x:c r="F9" s="21" t="str">
        <x:v>Trí</x:v>
      </x:c>
      <x:c r="G9" s="22" t="n">
        <x:v>46293</x:v>
      </x:c>
      <x:c r="H9" s="22" t="n">
        <x:v>46297</x:v>
      </x:c>
      <x:c r="I9" s="21" t="str">
        <x:v>P1</x:v>
      </x:c>
      <x:c r="J9" s="23" t="str">
        <x:v>Chưa bắt đầu</x:v>
      </x:c>
      <x:c r="K9" s="21" t="str">
        <x:v>SETUP-001</x:v>
      </x:c>
      <x:c r="L9" s="21" t="str">
        <x:v>Component hiển thị đúng compact/dark/font scaling</x:v>
      </x:c>
      <x:c r="M9" s="21" t="str">
        <x:v>component screenshots</x:v>
      </x:c>
      <x:c r="N9" s="21" t="str">
        <x:v>3.5</x:v>
      </x:c>
    </x:row>
    <x:row r="10" ht="15" hidden="0" customHeight="1">
      <x:c r="A10" s="21" t="str">
        <x:v>DATA-001</x:v>
      </x:c>
      <x:c r="B10" s="21" t="str">
        <x:v>Tuần 1</x:v>
      </x:c>
      <x:c r="C10" s="21" t="str">
        <x:v>SQLite schema và repository</x:v>
      </x:c>
      <x:c r="D10" s="21" t="str">
        <x:v>Migration runner, tables và repository interfaces</x:v>
      </x:c>
      <x:c r="E10" s="21" t="str">
        <x:v>Tâm</x:v>
      </x:c>
      <x:c r="F10" s="21" t="str">
        <x:v>Trí</x:v>
      </x:c>
      <x:c r="G10" s="22" t="n">
        <x:v>46293</x:v>
      </x:c>
      <x:c r="H10" s="22" t="n">
        <x:v>46298</x:v>
      </x:c>
      <x:c r="I10" s="21" t="str">
        <x:v>P0</x:v>
      </x:c>
      <x:c r="J10" s="23" t="str">
        <x:v>Chưa bắt đầu</x:v>
      </x:c>
      <x:c r="K10" s="21" t="str">
        <x:v>SETUP-001</x:v>
      </x:c>
      <x:c r="L10" s="21" t="str">
        <x:v>Migration fresh/upgrade và CRUD test đạt</x:v>
      </x:c>
      <x:c r="M10" s="21" t="str">
        <x:v>migration tests</x:v>
      </x:c>
      <x:c r="N10" s="21" t="str">
        <x:v>3.6</x:v>
      </x:c>
    </x:row>
    <x:row r="11" ht="15" hidden="0" customHeight="1">
      <x:c r="A11" s="21" t="str">
        <x:v>BACK-001</x:v>
      </x:c>
      <x:c r="B11" s="21" t="str">
        <x:v>Tuần 1</x:v>
      </x:c>
      <x:c r="C11" s="21" t="str">
        <x:v>Supabase skeleton</x:v>
      </x:c>
      <x:c r="D11" s="21" t="str">
        <x:v>Project config, schema skeleton và local setup</x:v>
      </x:c>
      <x:c r="E11" s="21" t="str">
        <x:v>Trang</x:v>
      </x:c>
      <x:c r="F11" s="21" t="str">
        <x:v>Tâm</x:v>
      </x:c>
      <x:c r="G11" s="22" t="n">
        <x:v>46293</x:v>
      </x:c>
      <x:c r="H11" s="22" t="n">
        <x:v>46298</x:v>
      </x:c>
      <x:c r="I11" s="21" t="str">
        <x:v>P0</x:v>
      </x:c>
      <x:c r="J11" s="23" t="str">
        <x:v>Chưa bắt đầu</x:v>
      </x:c>
      <x:c r="K11" s="21" t="str">
        <x:v>SETUP-001</x:v>
      </x:c>
      <x:c r="L11" s="21" t="str">
        <x:v>Local Supabase khởi động và migration áp dụng</x:v>
      </x:c>
      <x:c r="M11" s="21" t="str">
        <x:v>migration log</x:v>
      </x:c>
      <x:c r="N11" s="21" t="str">
        <x:v>3.4</x:v>
      </x:c>
    </x:row>
    <x:row r="12" ht="15" hidden="0" customHeight="1">
      <x:c r="A12" s="21" t="str">
        <x:v>REP-001</x:v>
      </x:c>
      <x:c r="B12" s="21" t="str">
        <x:v>Tuần 1</x:v>
      </x:c>
      <x:c r="C12" s="21" t="str">
        <x:v>Khởi tạo LaTeX và evidence registry</x:v>
      </x:c>
      <x:c r="D12" s="21" t="str">
        <x:v>Đưa template, mục lục và bảng evidence vào repo</x:v>
      </x:c>
      <x:c r="E12" s="21" t="str">
        <x:v>Trung</x:v>
      </x:c>
      <x:c r="F12" s="21" t="str">
        <x:v>Tuấn</x:v>
      </x:c>
      <x:c r="G12" s="22" t="n">
        <x:v>46293</x:v>
      </x:c>
      <x:c r="H12" s="22" t="n">
        <x:v>46299</x:v>
      </x:c>
      <x:c r="I12" s="21" t="str">
        <x:v>P1</x:v>
      </x:c>
      <x:c r="J12" s="23" t="str">
        <x:v>Chưa bắt đầu</x:v>
      </x:c>
      <x:c r="K12" s="21" t="str">
        <x:v>PM-001</x:v>
      </x:c>
      <x:c r="L12" s="21" t="str">
        <x:v>Biên dịch PDF và có khung 5 chương</x:v>
      </x:c>
      <x:c r="M12" s="21" t="str">
        <x:v>report PDF</x:v>
      </x:c>
      <x:c r="N12" s="21" t="str">
        <x:v>Toàn báo cáo</x:v>
      </x:c>
    </x:row>
    <x:row r="13" ht="15" hidden="0" customHeight="1">
      <x:c r="A13" s="21" t="str">
        <x:v>DATA-002</x:v>
      </x:c>
      <x:c r="B13" s="21" t="str">
        <x:v>Tuần 2</x:v>
      </x:c>
      <x:c r="C13" s="21" t="str">
        <x:v>JSON schema versioning</x:v>
      </x:c>
      <x:c r="D13" s="21" t="str">
        <x:v>Validate deck/card và quy tắc đổi field</x:v>
      </x:c>
      <x:c r="E13" s="21" t="str">
        <x:v>Tâm</x:v>
      </x:c>
      <x:c r="F13" s="21" t="str">
        <x:v>Vinh</x:v>
      </x:c>
      <x:c r="G13" s="22" t="n">
        <x:v>46300</x:v>
      </x:c>
      <x:c r="H13" s="22" t="n">
        <x:v>46302</x:v>
      </x:c>
      <x:c r="I13" s="21" t="str">
        <x:v>P0</x:v>
      </x:c>
      <x:c r="J13" s="23" t="str">
        <x:v>Chưa bắt đầu</x:v>
      </x:c>
      <x:c r="K13" s="21" t="str">
        <x:v>DATA-001</x:v>
      </x:c>
      <x:c r="L13" s="21" t="str">
        <x:v>Fixture hợp lệ/sai và migration schema đạt</x:v>
      </x:c>
      <x:c r="M13" s="21" t="str">
        <x:v>schema tests</x:v>
      </x:c>
      <x:c r="N13" s="21" t="str">
        <x:v>3.6</x:v>
      </x:c>
    </x:row>
    <x:row r="14" ht="15" hidden="0" customHeight="1">
      <x:c r="A14" s="21" t="str">
        <x:v>MOB-001</x:v>
      </x:c>
      <x:c r="B14" s="21" t="str">
        <x:v>Tuần 2</x:v>
      </x:c>
      <x:c r="C14" s="21" t="str">
        <x:v>Deck list và detail</x:v>
      </x:c>
      <x:c r="D14" s="21" t="str">
        <x:v>List, search, empty/loading/error và deck detail</x:v>
      </x:c>
      <x:c r="E14" s="21" t="str">
        <x:v>Trí</x:v>
      </x:c>
      <x:c r="F14" s="21" t="str">
        <x:v>Tuấn</x:v>
      </x:c>
      <x:c r="G14" s="22" t="n">
        <x:v>46300</x:v>
      </x:c>
      <x:c r="H14" s="22" t="n">
        <x:v>46303</x:v>
      </x:c>
      <x:c r="I14" s="21" t="str">
        <x:v>P0</x:v>
      </x:c>
      <x:c r="J14" s="23" t="str">
        <x:v>Chưa bắt đầu</x:v>
      </x:c>
      <x:c r="K14" s="21" t="str">
        <x:v>DATA-001; UI-001</x:v>
      </x:c>
      <x:c r="L14" s="21" t="str">
        <x:v>Virtualized list và CRUD deck hoạt động offline</x:v>
      </x:c>
      <x:c r="M14" s="21" t="str">
        <x:v>screenshots; tests</x:v>
      </x:c>
      <x:c r="N14" s="21" t="str">
        <x:v>4.3</x:v>
      </x:c>
    </x:row>
    <x:row r="15" ht="15" hidden="0" customHeight="1">
      <x:c r="A15" s="21" t="str">
        <x:v>MOB-002</x:v>
      </x:c>
      <x:c r="B15" s="21" t="str">
        <x:v>Tuần 2</x:v>
      </x:c>
      <x:c r="C15" s="21" t="str">
        <x:v>Dynamic card editor</x:v>
      </x:c>
      <x:c r="D15" s="21" t="str">
        <x:v>Form sinh theo fieldSchema và template front/back</x:v>
      </x:c>
      <x:c r="E15" s="21" t="str">
        <x:v>Trí</x:v>
      </x:c>
      <x:c r="F15" s="21" t="str">
        <x:v>Tâm</x:v>
      </x:c>
      <x:c r="G15" s="22" t="n">
        <x:v>46302</x:v>
      </x:c>
      <x:c r="H15" s="22" t="n">
        <x:v>46306</x:v>
      </x:c>
      <x:c r="I15" s="21" t="str">
        <x:v>P0</x:v>
      </x:c>
      <x:c r="J15" s="23" t="str">
        <x:v>Chưa bắt đầu</x:v>
      </x:c>
      <x:c r="K15" s="21" t="str">
        <x:v>DATA-002; MOB-001</x:v>
      </x:c>
      <x:c r="L15" s="21" t="str">
        <x:v>Tạo/sửa card nhiều schema và báo lỗi đúng field</x:v>
      </x:c>
      <x:c r="M15" s="21" t="str">
        <x:v>component tests</x:v>
      </x:c>
      <x:c r="N15" s="21" t="str">
        <x:v>4.3</x:v>
      </x:c>
    </x:row>
    <x:row r="16" ht="15" hidden="0" customHeight="1">
      <x:c r="A16" s="21" t="str">
        <x:v>IMP-001</x:v>
      </x:c>
      <x:c r="B16" s="21" t="str">
        <x:v>Tuần 2</x:v>
      </x:c>
      <x:c r="C16" s="21" t="str">
        <x:v>Paste và CSV parser</x:v>
      </x:c>
      <x:c r="D16" s="21" t="str">
        <x:v>Delimiter, quote, Unicode, empty row và source preview</x:v>
      </x:c>
      <x:c r="E16" s="21" t="str">
        <x:v>Vinh</x:v>
      </x:c>
      <x:c r="F16" s="21" t="str">
        <x:v>Tâm</x:v>
      </x:c>
      <x:c r="G16" s="22" t="n">
        <x:v>46300</x:v>
      </x:c>
      <x:c r="H16" s="22" t="n">
        <x:v>46303</x:v>
      </x:c>
      <x:c r="I16" s="21" t="str">
        <x:v>P0</x:v>
      </x:c>
      <x:c r="J16" s="23" t="str">
        <x:v>Chưa bắt đầu</x:v>
      </x:c>
      <x:c r="K16" s="21" t="str">
        <x:v>DATA-002</x:v>
      </x:c>
      <x:c r="L16" s="21" t="str">
        <x:v>Fixture Việt/Nhật và CSV edge cases đạt</x:v>
      </x:c>
      <x:c r="M16" s="21" t="str">
        <x:v>parser tests</x:v>
      </x:c>
      <x:c r="N16" s="21" t="str">
        <x:v>4.3</x:v>
      </x:c>
    </x:row>
    <x:row r="17" ht="15" hidden="0" customHeight="1">
      <x:c r="A17" s="21" t="str">
        <x:v>IMP-002</x:v>
      </x:c>
      <x:c r="B17" s="21" t="str">
        <x:v>Tuần 2</x:v>
      </x:c>
      <x:c r="C17" s="21" t="str">
        <x:v>XLSX mapping và duplicate policy</x:v>
      </x:c>
      <x:c r="D17" s="21" t="str">
        <x:v>Đọc XLSX, map columns, preview, skip/merge/copy</x:v>
      </x:c>
      <x:c r="E17" s="21" t="str">
        <x:v>Vinh</x:v>
      </x:c>
      <x:c r="F17" s="21" t="str">
        <x:v>Trang</x:v>
      </x:c>
      <x:c r="G17" s="22" t="n">
        <x:v>46303</x:v>
      </x:c>
      <x:c r="H17" s="22" t="n">
        <x:v>46306</x:v>
      </x:c>
      <x:c r="I17" s="21" t="str">
        <x:v>P0</x:v>
      </x:c>
      <x:c r="J17" s="23" t="str">
        <x:v>Chưa bắt đầu</x:v>
      </x:c>
      <x:c r="K17" s="21" t="str">
        <x:v>IMP-001; MOB-002</x:v>
      </x:c>
      <x:c r="L17" s="21" t="str">
        <x:v>Import report đúng và không ghi đè im lặng</x:v>
      </x:c>
      <x:c r="M17" s="21" t="str">
        <x:v>import tests</x:v>
      </x:c>
      <x:c r="N17" s="21" t="str">
        <x:v>4.3</x:v>
      </x:c>
    </x:row>
    <x:row r="18" ht="15" hidden="0" customHeight="1">
      <x:c r="A18" s="21" t="str">
        <x:v>QA-001</x:v>
      </x:c>
      <x:c r="B18" s="21" t="str">
        <x:v>Tuần 2</x:v>
      </x:c>
      <x:c r="C18" s="21" t="str">
        <x:v>Acceptance test import</x:v>
      </x:c>
      <x:c r="D18" s="21" t="str">
        <x:v>Import 100 card, sửa preview và rollback lỗi</x:v>
      </x:c>
      <x:c r="E18" s="21" t="str">
        <x:v>Trung</x:v>
      </x:c>
      <x:c r="F18" s="21" t="str">
        <x:v>Vinh</x:v>
      </x:c>
      <x:c r="G18" s="22" t="n">
        <x:v>46305</x:v>
      </x:c>
      <x:c r="H18" s="22" t="n">
        <x:v>46306</x:v>
      </x:c>
      <x:c r="I18" s="21" t="str">
        <x:v>P0</x:v>
      </x:c>
      <x:c r="J18" s="23" t="str">
        <x:v>Chưa bắt đầu</x:v>
      </x:c>
      <x:c r="K18" s="21" t="str">
        <x:v>IMP-002</x:v>
      </x:c>
      <x:c r="L18" s="21" t="str">
        <x:v>Kịch bản đạt trên Android và iOS</x:v>
      </x:c>
      <x:c r="M18" s="21" t="str">
        <x:v>test record</x:v>
      </x:c>
      <x:c r="N18" s="21" t="str">
        <x:v>4.4</x:v>
      </x:c>
    </x:row>
    <x:row r="19" ht="15" hidden="0" customHeight="1">
      <x:c r="A19" s="21" t="str">
        <x:v>SRS-001</x:v>
      </x:c>
      <x:c r="B19" s="21" t="str">
        <x:v>Tuần 3</x:v>
      </x:c>
      <x:c r="C19" s="21" t="str">
        <x:v>Chốt scheduler và fixture</x:v>
      </x:c>
      <x:c r="D19" s="21" t="str">
        <x:v>Scheduler version, cases và expected intervals</x:v>
      </x:c>
      <x:c r="E19" s="21" t="str">
        <x:v>Vinh</x:v>
      </x:c>
      <x:c r="F19" s="21" t="str">
        <x:v>Tâm</x:v>
      </x:c>
      <x:c r="G19" s="22" t="n">
        <x:v>46307</x:v>
      </x:c>
      <x:c r="H19" s="22" t="n">
        <x:v>46308</x:v>
      </x:c>
      <x:c r="I19" s="21" t="str">
        <x:v>P0</x:v>
      </x:c>
      <x:c r="J19" s="23" t="str">
        <x:v>Chưa bắt đầu</x:v>
      </x:c>
      <x:c r="K19" s="21" t="str">
        <x:v>DATA-002</x:v>
      </x:c>
      <x:c r="L19" s="21" t="str">
        <x:v>Fixture được review trước khi code</x:v>
      </x:c>
      <x:c r="M19" s="21" t="str">
        <x:v>fixture file</x:v>
      </x:c>
      <x:c r="N19" s="21" t="str">
        <x:v>2.1; 3.2</x:v>
      </x:c>
    </x:row>
    <x:row r="20" ht="15" hidden="0" customHeight="1">
      <x:c r="A20" s="21" t="str">
        <x:v>SRS-002</x:v>
      </x:c>
      <x:c r="B20" s="21" t="str">
        <x:v>Tuần 3</x:v>
      </x:c>
      <x:c r="C20" s="21" t="str">
        <x:v>Scheduler service</x:v>
      </x:c>
      <x:c r="D20" s="21" t="str">
        <x:v>Again/Hard/Good/Easy và deterministic update</x:v>
      </x:c>
      <x:c r="E20" s="21" t="str">
        <x:v>Tâm</x:v>
      </x:c>
      <x:c r="F20" s="21" t="str">
        <x:v>Trí</x:v>
      </x:c>
      <x:c r="G20" s="22" t="n">
        <x:v>46308</x:v>
      </x:c>
      <x:c r="H20" s="22" t="n">
        <x:v>46311</x:v>
      </x:c>
      <x:c r="I20" s="21" t="str">
        <x:v>P0</x:v>
      </x:c>
      <x:c r="J20" s="23" t="str">
        <x:v>Chưa bắt đầu</x:v>
      </x:c>
      <x:c r="K20" s="21" t="str">
        <x:v>SRS-001</x:v>
      </x:c>
      <x:c r="L20" s="21" t="str">
        <x:v>Unit tests toàn bộ fixture đạt</x:v>
      </x:c>
      <x:c r="M20" s="21" t="str">
        <x:v>unit tests</x:v>
      </x:c>
      <x:c r="N20" s="21" t="str">
        <x:v>4.3</x:v>
      </x:c>
    </x:row>
    <x:row r="21" ht="15" hidden="0" customHeight="1">
      <x:c r="A21" s="21" t="str">
        <x:v>DATA-003</x:v>
      </x:c>
      <x:c r="B21" s="21" t="str">
        <x:v>Tuần 3</x:v>
      </x:c>
      <x:c r="C21" s="21" t="str">
        <x:v>Review events và due query</x:v>
      </x:c>
      <x:c r="D21" s="21" t="str">
        <x:v>Append-only history, idempotency và due indexes</x:v>
      </x:c>
      <x:c r="E21" s="21" t="str">
        <x:v>Tâm</x:v>
      </x:c>
      <x:c r="F21" s="21" t="str">
        <x:v>Trang</x:v>
      </x:c>
      <x:c r="G21" s="22" t="n">
        <x:v>46309</x:v>
      </x:c>
      <x:c r="H21" s="22" t="n">
        <x:v>46312</x:v>
      </x:c>
      <x:c r="I21" s="21" t="str">
        <x:v>P0</x:v>
      </x:c>
      <x:c r="J21" s="23" t="str">
        <x:v>Chưa bắt đầu</x:v>
      </x:c>
      <x:c r="K21" s="21" t="str">
        <x:v>SRS-002</x:v>
      </x:c>
      <x:c r="L21" s="21" t="str">
        <x:v>Duplicate event không áp dụng hai lần</x:v>
      </x:c>
      <x:c r="M21" s="21" t="str">
        <x:v>repository tests</x:v>
      </x:c>
      <x:c r="N21" s="21" t="str">
        <x:v>3.6</x:v>
      </x:c>
    </x:row>
    <x:row r="22" ht="15" hidden="0" customHeight="1">
      <x:c r="A22" s="21" t="str">
        <x:v>MOB-003</x:v>
      </x:c>
      <x:c r="B22" s="21" t="str">
        <x:v>Tuần 3</x:v>
      </x:c>
      <x:c r="C22" s="21" t="str">
        <x:v>Study screen</x:v>
      </x:c>
      <x:c r="D22" s="21" t="str">
        <x:v>Flip, counts, ratings, undo và states</x:v>
      </x:c>
      <x:c r="E22" s="21" t="str">
        <x:v>Trí</x:v>
      </x:c>
      <x:c r="F22" s="21" t="str">
        <x:v>Tuấn</x:v>
      </x:c>
      <x:c r="G22" s="22" t="n">
        <x:v>46308</x:v>
      </x:c>
      <x:c r="H22" s="22" t="n">
        <x:v>46313</x:v>
      </x:c>
      <x:c r="I22" s="21" t="str">
        <x:v>P0</x:v>
      </x:c>
      <x:c r="J22" s="23" t="str">
        <x:v>Chưa bắt đầu</x:v>
      </x:c>
      <x:c r="K22" s="21" t="str">
        <x:v>SRS-002; UI-001</x:v>
      </x:c>
      <x:c r="L22" s="21" t="str">
        <x:v>Study session hoàn chỉnh offline</x:v>
      </x:c>
      <x:c r="M22" s="21" t="str">
        <x:v>video; tests</x:v>
      </x:c>
      <x:c r="N22" s="21" t="str">
        <x:v>4.3</x:v>
      </x:c>
    </x:row>
    <x:row r="23" ht="15" hidden="0" customHeight="1">
      <x:c r="A23" s="21" t="str">
        <x:v>QA-002</x:v>
      </x:c>
      <x:c r="B23" s="21" t="str">
        <x:v>Tuần 3</x:v>
      </x:c>
      <x:c r="C23" s="21" t="str">
        <x:v>SRS edge-case QA</x:v>
      </x:c>
      <x:c r="D23" s="21" t="str">
        <x:v>Timezone, offline nhiều ngày, duplicate event</x:v>
      </x:c>
      <x:c r="E23" s="21" t="str">
        <x:v>Trung</x:v>
      </x:c>
      <x:c r="F23" s="21" t="str">
        <x:v>Vinh</x:v>
      </x:c>
      <x:c r="G23" s="22" t="n">
        <x:v>46312</x:v>
      </x:c>
      <x:c r="H23" s="22" t="n">
        <x:v>46313</x:v>
      </x:c>
      <x:c r="I23" s="21" t="str">
        <x:v>P0</x:v>
      </x:c>
      <x:c r="J23" s="23" t="str">
        <x:v>Chưa bắt đầu</x:v>
      </x:c>
      <x:c r="K23" s="21" t="str">
        <x:v>DATA-003; MOB-003</x:v>
      </x:c>
      <x:c r="L23" s="21" t="str">
        <x:v>Không mất due card hoặc nhân review</x:v>
      </x:c>
      <x:c r="M23" s="21" t="str">
        <x:v>test record</x:v>
      </x:c>
      <x:c r="N23" s="21" t="str">
        <x:v>4.4</x:v>
      </x:c>
    </x:row>
    <x:row r="24" ht="15" hidden="0" customHeight="1">
      <x:c r="A24" s="21" t="str">
        <x:v>GAME-001</x:v>
      </x:c>
      <x:c r="B24" s="21" t="str">
        <x:v>Tuần 4</x:v>
      </x:c>
      <x:c r="C24" s="21" t="str">
        <x:v>Matching</x:v>
      </x:c>
      <x:c r="D24" s="21" t="str">
        <x:v>3-4 pairs, first answer signal và score</x:v>
      </x:c>
      <x:c r="E24" s="21" t="str">
        <x:v>Tuấn</x:v>
      </x:c>
      <x:c r="F24" s="21" t="str">
        <x:v>Trí</x:v>
      </x:c>
      <x:c r="G24" s="22" t="n">
        <x:v>46314</x:v>
      </x:c>
      <x:c r="H24" s="22" t="n">
        <x:v>46316</x:v>
      </x:c>
      <x:c r="I24" s="21" t="str">
        <x:v>P1</x:v>
      </x:c>
      <x:c r="J24" s="23" t="str">
        <x:v>Chưa bắt đầu</x:v>
      </x:c>
      <x:c r="K24" s="21" t="str">
        <x:v>MOB-003</x:v>
      </x:c>
      <x:c r="L24" s="21" t="str">
        <x:v>Không có pair trùng và session kết thúc đúng</x:v>
      </x:c>
      <x:c r="M24" s="21" t="str">
        <x:v>game test; video</x:v>
      </x:c>
      <x:c r="N24" s="21" t="str">
        <x:v>4.3</x:v>
      </x:c>
    </x:row>
    <x:row r="25" ht="15" hidden="0" customHeight="1">
      <x:c r="A25" s="21" t="str">
        <x:v>GAME-002</x:v>
      </x:c>
      <x:c r="B25" s="21" t="str">
        <x:v>Tuần 4</x:v>
      </x:c>
      <x:c r="C25" s="21" t="str">
        <x:v>Four Choices</x:v>
      </x:c>
      <x:c r="D25" s="21" t="str">
        <x:v>Correct answer và distractor validation</x:v>
      </x:c>
      <x:c r="E25" s="21" t="str">
        <x:v>Vinh</x:v>
      </x:c>
      <x:c r="F25" s="21" t="str">
        <x:v>Tuấn</x:v>
      </x:c>
      <x:c r="G25" s="22" t="n">
        <x:v>46314</x:v>
      </x:c>
      <x:c r="H25" s="22" t="n">
        <x:v>46317</x:v>
      </x:c>
      <x:c r="I25" s="21" t="str">
        <x:v>P1</x:v>
      </x:c>
      <x:c r="J25" s="23" t="str">
        <x:v>Chưa bắt đầu</x:v>
      </x:c>
      <x:c r="K25" s="21" t="str">
        <x:v>MOB-003</x:v>
      </x:c>
      <x:c r="L25" s="21" t="str">
        <x:v>Không có đáp án trùng; first choice quyết định</x:v>
      </x:c>
      <x:c r="M25" s="21" t="str">
        <x:v>unit test; video</x:v>
      </x:c>
      <x:c r="N25" s="21" t="str">
        <x:v>4.3</x:v>
      </x:c>
    </x:row>
    <x:row r="26" ht="15" hidden="0" customHeight="1">
      <x:c r="A26" s="21" t="str">
        <x:v>GAME-003</x:v>
      </x:c>
      <x:c r="B26" s="21" t="str">
        <x:v>Tuần 4</x:v>
      </x:c>
      <x:c r="C26" s="21" t="str">
        <x:v>Word Ninja</x:v>
      </x:c>
      <x:c r="D26" s="21" t="str">
        <x:v>Lives, targets, power-up, reduce motion và performance</x:v>
      </x:c>
      <x:c r="E26" s="21" t="str">
        <x:v>Tuấn</x:v>
      </x:c>
      <x:c r="F26" s="21" t="str">
        <x:v>Trí</x:v>
      </x:c>
      <x:c r="G26" s="22" t="n">
        <x:v>46316</x:v>
      </x:c>
      <x:c r="H26" s="22" t="n">
        <x:v>46320</x:v>
      </x:c>
      <x:c r="I26" s="21" t="str">
        <x:v>P1</x:v>
      </x:c>
      <x:c r="J26" s="23" t="str">
        <x:v>Chưa bắt đầu</x:v>
      </x:c>
      <x:c r="K26" s="21" t="str">
        <x:v>UI-001; MOB-003</x:v>
      </x:c>
      <x:c r="L26" s="21" t="str">
        <x:v>Không block JS thread; logic mạng/điểm đúng</x:v>
      </x:c>
      <x:c r="M26" s="21" t="str">
        <x:v>performance log; video</x:v>
      </x:c>
      <x:c r="N26" s="21" t="str">
        <x:v>4.3</x:v>
      </x:c>
    </x:row>
    <x:row r="27" ht="24" hidden="0" customHeight="1">
      <x:c r="A27" s="21" t="str">
        <x:v>GAME-004</x:v>
      </x:c>
      <x:c r="B27" s="21" t="str">
        <x:v>Tuần 4</x:v>
      </x:c>
      <x:c r="C27" s="21" t="str">
        <x:v>Game learning signal</x:v>
      </x:c>
      <x:c r="D27" s="21" t="str">
        <x:v>Giới hạn tác động game lên SRS</x:v>
      </x:c>
      <x:c r="E27" s="21" t="str">
        <x:v>Vinh</x:v>
      </x:c>
      <x:c r="F27" s="21" t="str">
        <x:v>Tâm</x:v>
      </x:c>
      <x:c r="G27" s="22" t="n">
        <x:v>46317</x:v>
      </x:c>
      <x:c r="H27" s="22" t="n">
        <x:v>46320</x:v>
      </x:c>
      <x:c r="I27" s="21" t="str">
        <x:v>P0</x:v>
      </x:c>
      <x:c r="J27" s="23" t="str">
        <x:v>Chưa bắt đầu</x:v>
      </x:c>
      <x:c r="K27" s="21" t="str">
        <x:v>GAME-001; GAME-002; SRS-002</x:v>
      </x:c>
      <x:c r="L27" s="21" t="str">
        <x:v>Bomb/miss/auto-hit không tạo review event</x:v>
      </x:c>
      <x:c r="M27" s="21" t="str">
        <x:v>policy tests</x:v>
      </x:c>
      <x:c r="N27" s="21" t="str">
        <x:v>3.2; 4.4</x:v>
      </x:c>
    </x:row>
    <x:row r="28" ht="15" hidden="0" customHeight="1">
      <x:c r="A28" s="21" t="str">
        <x:v>MOB-004</x:v>
      </x:c>
      <x:c r="B28" s="21" t="str">
        <x:v>Tuần 4</x:v>
      </x:c>
      <x:c r="C28" s="21" t="str">
        <x:v>Progress và thẻ thường sai</x:v>
      </x:c>
      <x:c r="D28" s="21" t="str">
        <x:v>History, accuracy, streak và filters</x:v>
      </x:c>
      <x:c r="E28" s="21" t="str">
        <x:v>Trí</x:v>
      </x:c>
      <x:c r="F28" s="21" t="str">
        <x:v>Trung</x:v>
      </x:c>
      <x:c r="G28" s="22" t="n">
        <x:v>46317</x:v>
      </x:c>
      <x:c r="H28" s="22" t="n">
        <x:v>46320</x:v>
      </x:c>
      <x:c r="I28" s="21" t="str">
        <x:v>P2</x:v>
      </x:c>
      <x:c r="J28" s="23" t="str">
        <x:v>Chưa bắt đầu</x:v>
      </x:c>
      <x:c r="K28" s="21" t="str">
        <x:v>DATA-003; GAME-004</x:v>
      </x:c>
      <x:c r="L28" s="21" t="str">
        <x:v>Số liệu truy vết về event</x:v>
      </x:c>
      <x:c r="M28" s="21" t="str">
        <x:v>screenshots; query tests</x:v>
      </x:c>
      <x:c r="N28" s="21" t="str">
        <x:v>4.3</x:v>
      </x:c>
    </x:row>
    <x:row r="29" ht="15" hidden="0" customHeight="1">
      <x:c r="A29" s="21" t="str">
        <x:v>AUTH-001</x:v>
      </x:c>
      <x:c r="B29" s="21" t="str">
        <x:v>Tuần 5</x:v>
      </x:c>
      <x:c r="C29" s="21" t="str">
        <x:v>Authentication</x:v>
      </x:c>
      <x:c r="D29" s="21" t="str">
        <x:v>Email/password hoặc magic link và secure session</x:v>
      </x:c>
      <x:c r="E29" s="21" t="str">
        <x:v>Trang</x:v>
      </x:c>
      <x:c r="F29" s="21" t="str">
        <x:v>Trí</x:v>
      </x:c>
      <x:c r="G29" s="22" t="n">
        <x:v>46321</x:v>
      </x:c>
      <x:c r="H29" s="22" t="n">
        <x:v>46323</x:v>
      </x:c>
      <x:c r="I29" s="21" t="str">
        <x:v>P0</x:v>
      </x:c>
      <x:c r="J29" s="23" t="str">
        <x:v>Chưa bắt đầu</x:v>
      </x:c>
      <x:c r="K29" s="21" t="str">
        <x:v>BACK-001</x:v>
      </x:c>
      <x:c r="L29" s="21" t="str">
        <x:v>Login/logout/session expiry xử lý đúng</x:v>
      </x:c>
      <x:c r="M29" s="21" t="str">
        <x:v>auth tests</x:v>
      </x:c>
      <x:c r="N29" s="21" t="str">
        <x:v>3.7</x:v>
      </x:c>
    </x:row>
    <x:row r="30" ht="15" hidden="0" customHeight="1">
      <x:c r="A30" s="21" t="str">
        <x:v>BACK-002</x:v>
      </x:c>
      <x:c r="B30" s="21" t="str">
        <x:v>Tuần 5</x:v>
      </x:c>
      <x:c r="C30" s="21" t="str">
        <x:v>PostgreSQL và RLS</x:v>
      </x:c>
      <x:c r="D30" s="21" t="str">
        <x:v>Migrations, JSONB, ownership và deny-by-default</x:v>
      </x:c>
      <x:c r="E30" s="21" t="str">
        <x:v>Trang</x:v>
      </x:c>
      <x:c r="F30" s="21" t="str">
        <x:v>Tâm</x:v>
      </x:c>
      <x:c r="G30" s="22" t="n">
        <x:v>46321</x:v>
      </x:c>
      <x:c r="H30" s="22" t="n">
        <x:v>46324</x:v>
      </x:c>
      <x:c r="I30" s="21" t="str">
        <x:v>P0</x:v>
      </x:c>
      <x:c r="J30" s="23" t="str">
        <x:v>Chưa bắt đầu</x:v>
      </x:c>
      <x:c r="K30" s="21" t="str">
        <x:v>BACK-001; DATA-002</x:v>
      </x:c>
      <x:c r="L30" s="21" t="str">
        <x:v>User A không đọc/ghi dữ liệu user B</x:v>
      </x:c>
      <x:c r="M30" s="21" t="str">
        <x:v>RLS tests</x:v>
      </x:c>
      <x:c r="N30" s="21" t="str">
        <x:v>3.6; 3.7</x:v>
      </x:c>
    </x:row>
    <x:row r="31" ht="15" hidden="0" customHeight="1">
      <x:c r="A31" s="21" t="str">
        <x:v>SYNC-001</x:v>
      </x:c>
      <x:c r="B31" s="21" t="str">
        <x:v>Tuần 5</x:v>
      </x:c>
      <x:c r="C31" s="21" t="str">
        <x:v>Local sync queue</x:v>
      </x:c>
      <x:c r="D31" s="21" t="str">
        <x:v>Event id, baseVersion, retry và tombstone</x:v>
      </x:c>
      <x:c r="E31" s="21" t="str">
        <x:v>Tâm</x:v>
      </x:c>
      <x:c r="F31" s="21" t="str">
        <x:v>Trang</x:v>
      </x:c>
      <x:c r="G31" s="22" t="n">
        <x:v>46322</x:v>
      </x:c>
      <x:c r="H31" s="22" t="n">
        <x:v>46325</x:v>
      </x:c>
      <x:c r="I31" s="21" t="str">
        <x:v>P0</x:v>
      </x:c>
      <x:c r="J31" s="23" t="str">
        <x:v>Chưa bắt đầu</x:v>
      </x:c>
      <x:c r="K31" s="21" t="str">
        <x:v>DATA-003; BACK-002</x:v>
      </x:c>
      <x:c r="L31" s="21" t="str">
        <x:v>Retry idempotent và không mất delete</x:v>
      </x:c>
      <x:c r="M31" s="21" t="str">
        <x:v>sync unit tests</x:v>
      </x:c>
      <x:c r="N31" s="21" t="str">
        <x:v>3.3</x:v>
      </x:c>
    </x:row>
    <x:row r="32" ht="15" hidden="0" customHeight="1">
      <x:c r="A32" s="21" t="str">
        <x:v>SYNC-002</x:v>
      </x:c>
      <x:c r="B32" s="21" t="str">
        <x:v>Tuần 5</x:v>
      </x:c>
      <x:c r="C32" s="21" t="str">
        <x:v>Batch sync và conflict UI</x:v>
      </x:c>
      <x:c r="D32" s="21" t="str">
        <x:v>Push/pull, canonical record và conflict resolution</x:v>
      </x:c>
      <x:c r="E32" s="21" t="str">
        <x:v>Trang</x:v>
      </x:c>
      <x:c r="F32" s="21" t="str">
        <x:v>Trí</x:v>
      </x:c>
      <x:c r="G32" s="22" t="n">
        <x:v>46324</x:v>
      </x:c>
      <x:c r="H32" s="22" t="n">
        <x:v>46327</x:v>
      </x:c>
      <x:c r="I32" s="21" t="str">
        <x:v>P0</x:v>
      </x:c>
      <x:c r="J32" s="23" t="str">
        <x:v>Chưa bắt đầu</x:v>
      </x:c>
      <x:c r="K32" s="21" t="str">
        <x:v>SYNC-001; AUTH-001</x:v>
      </x:c>
      <x:c r="L32" s="21" t="str">
        <x:v>Hai thiết bị sync không mất dữ liệu</x:v>
      </x:c>
      <x:c r="M32" s="21" t="str">
        <x:v>integration video</x:v>
      </x:c>
      <x:c r="N32" s="21" t="str">
        <x:v>3.3; 4.1</x:v>
      </x:c>
    </x:row>
    <x:row r="33" ht="15" hidden="0" customHeight="1">
      <x:c r="A33" s="21" t="str">
        <x:v>SYNC-003</x:v>
      </x:c>
      <x:c r="B33" s="21" t="str">
        <x:v>Tuần 5</x:v>
      </x:c>
      <x:c r="C33" s="21" t="str">
        <x:v>Sync failure fixtures</x:v>
      </x:c>
      <x:c r="D33" s="21" t="str">
        <x:v>Network drop, duplicate, stale version và clock skew</x:v>
      </x:c>
      <x:c r="E33" s="21" t="str">
        <x:v>Vinh</x:v>
      </x:c>
      <x:c r="F33" s="21" t="str">
        <x:v>Tâm</x:v>
      </x:c>
      <x:c r="G33" s="22" t="n">
        <x:v>46325</x:v>
      </x:c>
      <x:c r="H33" s="22" t="n">
        <x:v>46327</x:v>
      </x:c>
      <x:c r="I33" s="21" t="str">
        <x:v>P0</x:v>
      </x:c>
      <x:c r="J33" s="23" t="str">
        <x:v>Chưa bắt đầu</x:v>
      </x:c>
      <x:c r="K33" s="21" t="str">
        <x:v>SYNC-002</x:v>
      </x:c>
      <x:c r="L33" s="21" t="str">
        <x:v>Fixture failure recovery đạt</x:v>
      </x:c>
      <x:c r="M33" s="21" t="str">
        <x:v>integration tests</x:v>
      </x:c>
      <x:c r="N33" s="21" t="str">
        <x:v>4.1</x:v>
      </x:c>
    </x:row>
    <x:row r="34" ht="15" hidden="0" customHeight="1">
      <x:c r="A34" s="21" t="str">
        <x:v>DATA-004</x:v>
      </x:c>
      <x:c r="B34" s="21" t="str">
        <x:v>Tuần 5</x:v>
      </x:c>
      <x:c r="C34" s="21" t="str">
        <x:v>JSON backup restore</x:v>
      </x:c>
      <x:c r="D34" s="21" t="str">
        <x:v>Versioned export/import và validation</x:v>
      </x:c>
      <x:c r="E34" s="21" t="str">
        <x:v>Vinh</x:v>
      </x:c>
      <x:c r="F34" s="21" t="str">
        <x:v>Trang</x:v>
      </x:c>
      <x:c r="G34" s="22" t="n">
        <x:v>46324</x:v>
      </x:c>
      <x:c r="H34" s="22" t="n">
        <x:v>46327</x:v>
      </x:c>
      <x:c r="I34" s="21" t="str">
        <x:v>P1</x:v>
      </x:c>
      <x:c r="J34" s="23" t="str">
        <x:v>Chưa bắt đầu</x:v>
      </x:c>
      <x:c r="K34" s="21" t="str">
        <x:v>DATA-002</x:v>
      </x:c>
      <x:c r="L34" s="21" t="str">
        <x:v>Export rồi import khôi phục đúng deck/card</x:v>
      </x:c>
      <x:c r="M34" s="21" t="str">
        <x:v>round-trip tests</x:v>
      </x:c>
      <x:c r="N34" s="21" t="str">
        <x:v>4.1</x:v>
      </x:c>
    </x:row>
    <x:row r="35" ht="15" hidden="0" customHeight="1">
      <x:c r="A35" s="21" t="str">
        <x:v>QA-003</x:v>
      </x:c>
      <x:c r="B35" s="21" t="str">
        <x:v>Tuần 6</x:v>
      </x:c>
      <x:c r="C35" s="21" t="str">
        <x:v>Responsive và accessibility</x:v>
      </x:c>
      <x:c r="D35" s="21" t="str">
        <x:v>Safe area, font scale, theme, screen reader, reduced motion</x:v>
      </x:c>
      <x:c r="E35" s="21" t="str">
        <x:v>Tuấn</x:v>
      </x:c>
      <x:c r="F35" s="21" t="str">
        <x:v>Trung</x:v>
      </x:c>
      <x:c r="G35" s="22" t="n">
        <x:v>46328</x:v>
      </x:c>
      <x:c r="H35" s="22" t="n">
        <x:v>46331</x:v>
      </x:c>
      <x:c r="I35" s="21" t="str">
        <x:v>P0</x:v>
      </x:c>
      <x:c r="J35" s="23" t="str">
        <x:v>Chưa bắt đầu</x:v>
      </x:c>
      <x:c r="K35" s="21" t="str">
        <x:v>MOB-004; GAME-003</x:v>
      </x:c>
      <x:c r="L35" s="21" t="str">
        <x:v>Checklist compact/medium/iOS/Android đạt</x:v>
      </x:c>
      <x:c r="M35" s="21" t="str">
        <x:v>device screenshots</x:v>
      </x:c>
      <x:c r="N35" s="21" t="str">
        <x:v>4.2</x:v>
      </x:c>
    </x:row>
    <x:row r="36" ht="15" hidden="0" customHeight="1">
      <x:c r="A36" s="21" t="str">
        <x:v>QA-004</x:v>
      </x:c>
      <x:c r="B36" s="21" t="str">
        <x:v>Tuần 6</x:v>
      </x:c>
      <x:c r="C36" s="21" t="str">
        <x:v>E2E và device matrix</x:v>
      </x:c>
      <x:c r="D36" s="21" t="str">
        <x:v>Import-study-game-sync-backup smoke tests</x:v>
      </x:c>
      <x:c r="E36" s="21" t="str">
        <x:v>Trung</x:v>
      </x:c>
      <x:c r="F36" s="21" t="str">
        <x:v>Trí</x:v>
      </x:c>
      <x:c r="G36" s="22" t="n">
        <x:v>46329</x:v>
      </x:c>
      <x:c r="H36" s="22" t="n">
        <x:v>46333</x:v>
      </x:c>
      <x:c r="I36" s="21" t="str">
        <x:v>P0</x:v>
      </x:c>
      <x:c r="J36" s="23" t="str">
        <x:v>Chưa bắt đầu</x:v>
      </x:c>
      <x:c r="K36" s="21" t="str">
        <x:v>SYNC-003; QA-003</x:v>
      </x:c>
      <x:c r="L36" s="21" t="str">
        <x:v>Release build vượt smoke test</x:v>
      </x:c>
      <x:c r="M36" s="21" t="str">
        <x:v>E2E report</x:v>
      </x:c>
      <x:c r="N36" s="21" t="str">
        <x:v>4.4</x:v>
      </x:c>
    </x:row>
    <x:row r="37" ht="15" hidden="0" customHeight="1">
      <x:c r="A37" s="21" t="str">
        <x:v>QA-005</x:v>
      </x:c>
      <x:c r="B37" s="21" t="str">
        <x:v>Tuần 6</x:v>
      </x:c>
      <x:c r="C37" s="21" t="str">
        <x:v>Performance và crash triage</x:v>
      </x:c>
      <x:c r="D37" s="21" t="str">
        <x:v>List 1000 card, import, game frame và startup</x:v>
      </x:c>
      <x:c r="E37" s="21" t="str">
        <x:v>Trí</x:v>
      </x:c>
      <x:c r="F37" s="21" t="str">
        <x:v>Vinh</x:v>
      </x:c>
      <x:c r="G37" s="22" t="n">
        <x:v>46330</x:v>
      </x:c>
      <x:c r="H37" s="22" t="n">
        <x:v>46334</x:v>
      </x:c>
      <x:c r="I37" s="21" t="str">
        <x:v>P1</x:v>
      </x:c>
      <x:c r="J37" s="23" t="str">
        <x:v>Chưa bắt đầu</x:v>
      </x:c>
      <x:c r="K37" s="21" t="str">
        <x:v>QA-004</x:v>
      </x:c>
      <x:c r="L37" s="21" t="str">
        <x:v>Không còn blocker/critical; số đo được ghi</x:v>
      </x:c>
      <x:c r="M37" s="21" t="str">
        <x:v>performance report</x:v>
      </x:c>
      <x:c r="N37" s="21" t="str">
        <x:v>4.4</x:v>
      </x:c>
    </x:row>
    <x:row r="38" ht="15" hidden="0" customHeight="1">
      <x:c r="A38" s="21" t="str">
        <x:v>REL-001</x:v>
      </x:c>
      <x:c r="B38" s="21" t="str">
        <x:v>Tuần 6</x:v>
      </x:c>
      <x:c r="C38" s="21" t="str">
        <x:v>Store assets và privacy</x:v>
      </x:c>
      <x:c r="D38" s="21" t="str">
        <x:v>Icon, splash, screenshots, privacy/data safety text</x:v>
      </x:c>
      <x:c r="E38" s="21" t="str">
        <x:v>Tuấn</x:v>
      </x:c>
      <x:c r="F38" s="21" t="str">
        <x:v>Trang</x:v>
      </x:c>
      <x:c r="G38" s="22" t="n">
        <x:v>46328</x:v>
      </x:c>
      <x:c r="H38" s="22" t="n">
        <x:v>46334</x:v>
      </x:c>
      <x:c r="I38" s="21" t="str">
        <x:v>P1</x:v>
      </x:c>
      <x:c r="J38" s="23" t="str">
        <x:v>Chưa bắt đầu</x:v>
      </x:c>
      <x:c r="K38" s="21" t="str">
        <x:v>QA-003</x:v>
      </x:c>
      <x:c r="L38" s="21" t="str">
        <x:v>Asset đúng kích thước và nội dung khớp app</x:v>
      </x:c>
      <x:c r="M38" s="21" t="str">
        <x:v>asset checklist</x:v>
      </x:c>
      <x:c r="N38" s="21" t="str">
        <x:v>3.8</x:v>
      </x:c>
    </x:row>
    <x:row r="39" ht="15" hidden="0" customHeight="1">
      <x:c r="A39" s="21" t="str">
        <x:v>REL-002</x:v>
      </x:c>
      <x:c r="B39" s="21" t="str">
        <x:v>Tuần 7</x:v>
      </x:c>
      <x:c r="C39" s="21" t="str">
        <x:v>Android AAB</x:v>
      </x:c>
      <x:c r="D39" s="21" t="str">
        <x:v>Signed release và Play internal track nếu có tài khoản</x:v>
      </x:c>
      <x:c r="E39" s="21" t="str">
        <x:v>Trang</x:v>
      </x:c>
      <x:c r="F39" s="21" t="str">
        <x:v>Trí</x:v>
      </x:c>
      <x:c r="G39" s="22" t="n">
        <x:v>46335</x:v>
      </x:c>
      <x:c r="H39" s="22" t="n">
        <x:v>46338</x:v>
      </x:c>
      <x:c r="I39" s="21" t="str">
        <x:v>P0</x:v>
      </x:c>
      <x:c r="J39" s="23" t="str">
        <x:v>Chưa bắt đầu</x:v>
      </x:c>
      <x:c r="K39" s="21" t="str">
        <x:v>QA-005; REL-001</x:v>
      </x:c>
      <x:c r="L39" s="21" t="str">
        <x:v>AAB cài/chạy và smoke test đạt</x:v>
      </x:c>
      <x:c r="M39" s="21" t="str">
        <x:v>AAB hash; log</x:v>
      </x:c>
      <x:c r="N39" s="21" t="str">
        <x:v>4.2</x:v>
      </x:c>
    </x:row>
    <x:row r="40" ht="15" hidden="0" customHeight="1">
      <x:c r="A40" s="21" t="str">
        <x:v>REL-003</x:v>
      </x:c>
      <x:c r="B40" s="21" t="str">
        <x:v>Tuần 7</x:v>
      </x:c>
      <x:c r="C40" s="21" t="str">
        <x:v>iOS archive</x:v>
      </x:c>
      <x:c r="D40" s="21" t="str">
        <x:v>Archive/TestFlight nếu tài khoản cho phép</x:v>
      </x:c>
      <x:c r="E40" s="21" t="str">
        <x:v>Trang</x:v>
      </x:c>
      <x:c r="F40" s="21" t="str">
        <x:v>Trí</x:v>
      </x:c>
      <x:c r="G40" s="22" t="n">
        <x:v>46335</x:v>
      </x:c>
      <x:c r="H40" s="22" t="n">
        <x:v>46339</x:v>
      </x:c>
      <x:c r="I40" s="21" t="str">
        <x:v>P0</x:v>
      </x:c>
      <x:c r="J40" s="23" t="str">
        <x:v>Chưa bắt đầu</x:v>
      </x:c>
      <x:c r="K40" s="21" t="str">
        <x:v>QA-005; REL-001</x:v>
      </x:c>
      <x:c r="L40" s="21" t="str">
        <x:v>Archive thành công hoặc ghi rõ blocker tài khoản</x:v>
      </x:c>
      <x:c r="M40" s="21" t="str">
        <x:v>archive log</x:v>
      </x:c>
      <x:c r="N40" s="21" t="str">
        <x:v>4.2</x:v>
      </x:c>
    </x:row>
    <x:row r="41" ht="15" hidden="0" customHeight="1">
      <x:c r="A41" s="21" t="str">
        <x:v>REP-002</x:v>
      </x:c>
      <x:c r="B41" s="21" t="str">
        <x:v>Tuần 1-6</x:v>
      </x:c>
      <x:c r="C41" s="21" t="str">
        <x:v>Chương 1 đến 3</x:v>
      </x:c>
      <x:c r="D41" s="21" t="str">
        <x:v>Giới thiệu, liên quan và hệ thống đề xuất</x:v>
      </x:c>
      <x:c r="E41" s="21" t="str">
        <x:v>Trung</x:v>
      </x:c>
      <x:c r="F41" s="21" t="str">
        <x:v>Trí</x:v>
      </x:c>
      <x:c r="G41" s="22" t="n">
        <x:v>46293</x:v>
      </x:c>
      <x:c r="H41" s="22" t="n">
        <x:v>46334</x:v>
      </x:c>
      <x:c r="I41" s="21" t="str">
        <x:v>P0</x:v>
      </x:c>
      <x:c r="J41" s="23" t="str">
        <x:v>Chưa bắt đầu</x:v>
      </x:c>
      <x:c r="K41" s="21" t="str">
        <x:v>REP-001</x:v>
      </x:c>
      <x:c r="L41" s="21" t="str">
        <x:v>Có nguồn, sơ đồ và traceability</x:v>
      </x:c>
      <x:c r="M41" s="21" t="str">
        <x:v>report PDF</x:v>
      </x:c>
      <x:c r="N41" s="21" t="str">
        <x:v>1-3</x:v>
      </x:c>
    </x:row>
    <x:row r="42" ht="15" hidden="0" customHeight="1">
      <x:c r="A42" s="21" t="str">
        <x:v>REP-003</x:v>
      </x:c>
      <x:c r="B42" s="21" t="str">
        <x:v>Tuần 7</x:v>
      </x:c>
      <x:c r="C42" s="21" t="str">
        <x:v>Kết quả và kết luận</x:v>
      </x:c>
      <x:c r="D42" s="21" t="str">
        <x:v>Kết quả, đánh giá, hạn chế, kết luận và phụ lục</x:v>
      </x:c>
      <x:c r="E42" s="21" t="str">
        <x:v>Trung</x:v>
      </x:c>
      <x:c r="F42" s="21" t="str">
        <x:v>Toàn nhóm</x:v>
      </x:c>
      <x:c r="G42" s="22" t="n">
        <x:v>46335</x:v>
      </x:c>
      <x:c r="H42" s="22" t="n">
        <x:v>46341</x:v>
      </x:c>
      <x:c r="I42" s="21" t="str">
        <x:v>P0</x:v>
      </x:c>
      <x:c r="J42" s="23" t="str">
        <x:v>Chưa bắt đầu</x:v>
      </x:c>
      <x:c r="K42" s="21" t="str">
        <x:v>QA-004; REP-002</x:v>
      </x:c>
      <x:c r="L42" s="21" t="str">
        <x:v>Mọi số liệu có evidence; bảng phân công đầy đủ</x:v>
      </x:c>
      <x:c r="M42" s="21" t="str">
        <x:v>report PDF</x:v>
      </x:c>
      <x:c r="N42" s="21" t="str">
        <x:v>4-5; phụ lục</x:v>
      </x:c>
    </x:row>
    <x:row r="43" ht="15" hidden="0" customHeight="1">
      <x:c r="A43" s="21" t="str">
        <x:v>SLIDE-001</x:v>
      </x:c>
      <x:c r="B43" s="21" t="str">
        <x:v>Tuần 7</x:v>
      </x:c>
      <x:c r="C43" s="21" t="str">
        <x:v>Slide và Q&amp;A bank</x:v>
      </x:c>
      <x:c r="D43" s="21" t="str">
        <x:v>Slide ngắn, demo cues và câu hỏi phản biện</x:v>
      </x:c>
      <x:c r="E43" s="21" t="str">
        <x:v>Tuấn</x:v>
      </x:c>
      <x:c r="F43" s="21" t="str">
        <x:v>Trung</x:v>
      </x:c>
      <x:c r="G43" s="22" t="n">
        <x:v>46335</x:v>
      </x:c>
      <x:c r="H43" s="22" t="n">
        <x:v>46340</x:v>
      </x:c>
      <x:c r="I43" s="21" t="str">
        <x:v>P1</x:v>
      </x:c>
      <x:c r="J43" s="23" t="str">
        <x:v>Chưa bắt đầu</x:v>
      </x:c>
      <x:c r="K43" s="21" t="str">
        <x:v>REP-002</x:v>
      </x:c>
      <x:c r="L43" s="21" t="str">
        <x:v>Thuyết trình đúng thời lượng rehearsal</x:v>
      </x:c>
      <x:c r="M43" s="21" t="str">
        <x:v>PPTX; video</x:v>
      </x:c>
      <x:c r="N43" s="21" t="str">
        <x:v>Nộp PPTX</x:v>
      </x:c>
    </x:row>
    <x:row r="44" ht="15" hidden="0" customHeight="1">
      <x:c r="A44" s="21" t="str">
        <x:v>DEMO-001</x:v>
      </x:c>
      <x:c r="B44" s="21" t="str">
        <x:v>Tuần 7</x:v>
      </x:c>
      <x:c r="C44" s="21" t="str">
        <x:v>Demo rehearsal</x:v>
      </x:c>
      <x:c r="D44" s="21" t="str">
        <x:v>Script, dữ liệu sạch, fallback video và phân vai</x:v>
      </x:c>
      <x:c r="E44" s="21" t="str">
        <x:v>Tuấn</x:v>
      </x:c>
      <x:c r="F44" s="21" t="str">
        <x:v>Trung</x:v>
      </x:c>
      <x:c r="G44" s="22" t="n">
        <x:v>46337</x:v>
      </x:c>
      <x:c r="H44" s="22" t="n">
        <x:v>46341</x:v>
      </x:c>
      <x:c r="I44" s="21" t="str">
        <x:v>P0</x:v>
      </x:c>
      <x:c r="J44" s="23" t="str">
        <x:v>Chưa bắt đầu</x:v>
      </x:c>
      <x:c r="K44" s="21" t="str">
        <x:v>REL-002; REL-003</x:v>
      </x:c>
      <x:c r="L44" s="21" t="str">
        <x:v>Hai lần rehearsal liên tiếp không lỗi</x:v>
      </x:c>
      <x:c r="M44" s="21" t="str">
        <x:v>demo checklist</x:v>
      </x:c>
      <x:c r="N44" s="21" t="str">
        <x:v>Demo</x:v>
      </x:c>
    </x:row>
    <x:row r="45" ht="15" hidden="0" customHeight="1">
      <x:c r="A45" s="21" t="str">
        <x:v>PKG-001</x:v>
      </x:c>
      <x:c r="B45" s="21" t="str">
        <x:v>Buffer</x:v>
      </x:c>
      <x:c r="C45" s="21" t="str">
        <x:v>Gói nộp và Drive</x:v>
      </x:c>
      <x:c r="D45" s="21" t="str">
        <x:v>PDF, PPTX, source, LaTeX, demo, links và ZIP</x:v>
      </x:c>
      <x:c r="E45" s="21" t="str">
        <x:v>Trung</x:v>
      </x:c>
      <x:c r="F45" s="21" t="str">
        <x:v>Trang</x:v>
      </x:c>
      <x:c r="G45" s="22" t="n">
        <x:v>46342</x:v>
      </x:c>
      <x:c r="H45" s="22" t="n">
        <x:v>46349</x:v>
      </x:c>
      <x:c r="I45" s="21" t="str">
        <x:v>P0</x:v>
      </x:c>
      <x:c r="J45" s="23" t="str">
        <x:v>Chưa bắt đầu</x:v>
      </x:c>
      <x:c r="K45" s="21" t="str">
        <x:v>REP-003; DEMO-001</x:v>
      </x:c>
      <x:c r="L45" s="21" t="str">
        <x:v>ZIP đúng tên; link mở được bằng tài khoản khác</x:v>
      </x:c>
      <x:c r="M45" s="21" t="str">
        <x:v>submission checklist</x:v>
      </x:c>
      <x:c r="N45" s="21" t="str">
        <x:v>Phụ lục</x:v>
      </x:c>
    </x:row>
  </x:sheetData>
  <x:mergeCells>
    <x:mergeCell ref="A1:N1"/>
    <x:mergeCell ref="A2:N2"/>
  </x:mergeCells>
  <x:conditionalFormatting sqref="J5:J45">
    <x:cfRule type="expression" dxfId="0" priority="1">
      <x:formula>$J5="Hoàn thành"</x:formula>
    </x:cfRule>
    <x:cfRule type="expression" dxfId="1" priority="2">
      <x:formula>$J5="Bị chặn"</x:formula>
    </x:cfRule>
    <x:cfRule type="expression" dxfId="2" priority="3">
      <x:formula>$J5="Đang làm"</x:formula>
    </x:cfRule>
    <x:cfRule type="expression" dxfId="3" priority="4">
      <x:formula>$J5="Đang review"</x:formula>
    </x:cfRule>
  </x:conditionalFormatting>
  <x:dataValidations count="2">
    <x:dataValidation type="list" sqref="J5:J45">
      <x:formula1>"Chưa bắt đầu,Đang làm,Đang review,Bị chặn,Hoàn thành"</x:formula1>
    </x:dataValidation>
    <x:dataValidation type="list" sqref="I5:I4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5f8d18f0604b83"/>
  </x:tableParts>
</x:worksheet>
</file>

<file path=xl/worksheets/sheet5.xml><?xml version="1.0" encoding="utf-8"?>
<x:worksheet xmlns:x="http://schemas.openxmlformats.org/spreadsheetml/2006/main">
  <x:sheetPr>
    <x:tabColor rgb="FF1F7A5A"/>
  </x:sheetPr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2" t="str">
        <x:v>Theo dõi tiến độ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Các chỉ số lấy trực tiếp từ Backlog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2" customHeight="1">
      <x:c r="A4" s="10" t="str">
        <x:v>Trạng thái</x:v>
      </x:c>
      <x:c r="B4" s="10" t="str">
        <x:v>Số task</x:v>
      </x:c>
      <x:c r="D4" s="10" t="str">
        <x:v>Thành viên</x:v>
      </x:c>
      <x:c r="E4" s="10" t="str">
        <x:v>Tổng task</x:v>
      </x:c>
      <x:c r="F4" s="10" t="str">
        <x:v>Đang làm/review</x:v>
      </x:c>
      <x:c r="G4" s="10" t="str">
        <x:v>Hoàn thành</x:v>
      </x:c>
      <x:c r="H4" s="10" t="str">
        <x:v>P0 chưa xong</x:v>
      </x:c>
    </x:row>
    <x:row r="5">
      <x:c r="A5" s="13" t="str">
        <x:v>Chưa bắt đầu</x:v>
      </x:c>
      <x:c r="B5" s="13" t="n">
        <x:f>COUNTIFS('Backlog'!$J$5:$J$200,A5)</x:f>
        <x:v>39</x:v>
      </x:c>
      <x:c r="D5" s="13" t="str">
        <x:v>Trí</x:v>
      </x:c>
      <x:c r="E5" s="13" t="n">
        <x:f>COUNTIFS('Backlog'!$E$5:$E$200,D5)</x:f>
        <x:v>7</x:v>
      </x:c>
      <x:c r="F5" s="13" t="n">
        <x:f>COUNTIFS('Backlog'!$E$5:$E$200,D5,'Backlog'!$J$5:$J$200,"Đang làm")+COUNTIFS('Backlog'!$E$5:$E$200,D5,'Backlog'!$J$5:$J$200,"Đang review")</x:f>
        <x:v>0</x:v>
      </x:c>
      <x:c r="G5" s="13" t="n">
        <x:f>COUNTIFS('Backlog'!$E$5:$E$200,D5,'Backlog'!$J$5:$J$200,"Hoàn thành")</x:f>
        <x:v>0</x:v>
      </x:c>
      <x:c r="H5" s="13" t="n">
        <x:f>COUNTIFS('Backlog'!$E$5:$E$200,D5,'Backlog'!$I$5:$I$200,"P0",'Backlog'!$J$5:$J$200,"&lt;&gt;Hoàn thành")</x:f>
        <x:v>5</x:v>
      </x:c>
    </x:row>
    <x:row r="6">
      <x:c r="A6" s="13" t="str">
        <x:v>Đang làm</x:v>
      </x:c>
      <x:c r="B6" s="13" t="n">
        <x:f>COUNTIFS('Backlog'!$J$5:$J$200,A6)</x:f>
        <x:v>0</x:v>
      </x:c>
      <x:c r="D6" s="13" t="str">
        <x:v>Trang</x:v>
      </x:c>
      <x:c r="E6" s="13" t="n">
        <x:f>COUNTIFS('Backlog'!$E$5:$E$200,D6)</x:f>
        <x:v>6</x:v>
      </x:c>
      <x:c r="F6" s="13" t="n">
        <x:f>COUNTIFS('Backlog'!$E$5:$E$200,D6,'Backlog'!$J$5:$J$200,"Đang làm")+COUNTIFS('Backlog'!$E$5:$E$200,D6,'Backlog'!$J$5:$J$200,"Đang review")</x:f>
        <x:v>0</x:v>
      </x:c>
      <x:c r="G6" s="13" t="n">
        <x:f>COUNTIFS('Backlog'!$E$5:$E$200,D6,'Backlog'!$J$5:$J$200,"Hoàn thành")</x:f>
        <x:v>0</x:v>
      </x:c>
      <x:c r="H6" s="13" t="n">
        <x:f>COUNTIFS('Backlog'!$E$5:$E$200,D6,'Backlog'!$I$5:$I$200,"P0",'Backlog'!$J$5:$J$200,"&lt;&gt;Hoàn thành")</x:f>
        <x:v>6</x:v>
      </x:c>
    </x:row>
    <x:row r="7">
      <x:c r="A7" s="13" t="str">
        <x:v>Đang review</x:v>
      </x:c>
      <x:c r="B7" s="13" t="n">
        <x:f>COUNTIFS('Backlog'!$J$5:$J$200,A7)</x:f>
        <x:v>2</x:v>
      </x:c>
      <x:c r="D7" s="13" t="str">
        <x:v>Tâm</x:v>
      </x:c>
      <x:c r="E7" s="13" t="n">
        <x:f>COUNTIFS('Backlog'!$E$5:$E$200,D7)</x:f>
        <x:v>5</x:v>
      </x:c>
      <x:c r="F7" s="13" t="n">
        <x:f>COUNTIFS('Backlog'!$E$5:$E$200,D7,'Backlog'!$J$5:$J$200,"Đang làm")+COUNTIFS('Backlog'!$E$5:$E$200,D7,'Backlog'!$J$5:$J$200,"Đang review")</x:f>
        <x:v>0</x:v>
      </x:c>
      <x:c r="G7" s="13" t="n">
        <x:f>COUNTIFS('Backlog'!$E$5:$E$200,D7,'Backlog'!$J$5:$J$200,"Hoàn thành")</x:f>
        <x:v>0</x:v>
      </x:c>
      <x:c r="H7" s="13" t="n">
        <x:f>COUNTIFS('Backlog'!$E$5:$E$200,D7,'Backlog'!$I$5:$I$200,"P0",'Backlog'!$J$5:$J$200,"&lt;&gt;Hoàn thành")</x:f>
        <x:v>5</x:v>
      </x:c>
    </x:row>
    <x:row r="8">
      <x:c r="A8" s="13" t="str">
        <x:v>Bị chặn</x:v>
      </x:c>
      <x:c r="B8" s="13" t="n">
        <x:f>COUNTIFS('Backlog'!$J$5:$J$200,A8)</x:f>
        <x:v>0</x:v>
      </x:c>
      <x:c r="D8" s="13" t="str">
        <x:v>Vinh</x:v>
      </x:c>
      <x:c r="E8" s="13" t="n">
        <x:f>COUNTIFS('Backlog'!$E$5:$E$200,D8)</x:f>
        <x:v>7</x:v>
      </x:c>
      <x:c r="F8" s="13" t="n">
        <x:f>COUNTIFS('Backlog'!$E$5:$E$200,D8,'Backlog'!$J$5:$J$200,"Đang làm")+COUNTIFS('Backlog'!$E$5:$E$200,D8,'Backlog'!$J$5:$J$200,"Đang review")</x:f>
        <x:v>0</x:v>
      </x:c>
      <x:c r="G8" s="13" t="n">
        <x:f>COUNTIFS('Backlog'!$E$5:$E$200,D8,'Backlog'!$J$5:$J$200,"Hoàn thành")</x:f>
        <x:v>0</x:v>
      </x:c>
      <x:c r="H8" s="13" t="n">
        <x:f>COUNTIFS('Backlog'!$E$5:$E$200,D8,'Backlog'!$I$5:$I$200,"P0",'Backlog'!$J$5:$J$200,"&lt;&gt;Hoàn thành")</x:f>
        <x:v>5</x:v>
      </x:c>
    </x:row>
    <x:row r="9">
      <x:c r="A9" s="13" t="str">
        <x:v>Hoàn thành</x:v>
      </x:c>
      <x:c r="B9" s="13" t="n">
        <x:f>COUNTIFS('Backlog'!$J$5:$J$200,A9)</x:f>
        <x:v>0</x:v>
      </x:c>
      <x:c r="D9" s="13" t="str">
        <x:v>Trung</x:v>
      </x:c>
      <x:c r="E9" s="13" t="n">
        <x:f>COUNTIFS('Backlog'!$E$5:$E$200,D9)</x:f>
        <x:v>9</x:v>
      </x:c>
      <x:c r="F9" s="13" t="n">
        <x:f>COUNTIFS('Backlog'!$E$5:$E$200,D9,'Backlog'!$J$5:$J$200,"Đang làm")+COUNTIFS('Backlog'!$E$5:$E$200,D9,'Backlog'!$J$5:$J$200,"Đang review")</x:f>
        <x:v>2</x:v>
      </x:c>
      <x:c r="G9" s="13" t="n">
        <x:f>COUNTIFS('Backlog'!$E$5:$E$200,D9,'Backlog'!$J$5:$J$200,"Hoàn thành")</x:f>
        <x:v>0</x:v>
      </x:c>
      <x:c r="H9" s="13" t="n">
        <x:f>COUNTIFS('Backlog'!$E$5:$E$200,D9,'Backlog'!$I$5:$I$200,"P0",'Backlog'!$J$5:$J$200,"&lt;&gt;Hoàn thành")</x:f>
        <x:v>8</x:v>
      </x:c>
    </x:row>
    <x:row r="10">
      <x:c r="D10" s="13" t="str">
        <x:v>Tuấn</x:v>
      </x:c>
      <x:c r="E10" s="13" t="n">
        <x:f>COUNTIFS('Backlog'!$E$5:$E$200,D10)</x:f>
        <x:v>7</x:v>
      </x:c>
      <x:c r="F10" s="13" t="n">
        <x:f>COUNTIFS('Backlog'!$E$5:$E$200,D10,'Backlog'!$J$5:$J$200,"Đang làm")+COUNTIFS('Backlog'!$E$5:$E$200,D10,'Backlog'!$J$5:$J$200,"Đang review")</x:f>
        <x:v>0</x:v>
      </x:c>
      <x:c r="G10" s="13" t="n">
        <x:f>COUNTIFS('Backlog'!$E$5:$E$200,D10,'Backlog'!$J$5:$J$200,"Hoàn thành")</x:f>
        <x:v>0</x:v>
      </x:c>
      <x:c r="H10" s="13" t="n">
        <x:f>COUNTIFS('Backlog'!$E$5:$E$200,D10,'Backlog'!$I$5:$I$200,"P0",'Backlog'!$J$5:$J$200,"&lt;&gt;Hoàn thành")</x:f>
        <x:v>2</x:v>
      </x:c>
    </x:row>
    <x:row r="12" ht="34" customHeight="1">
      <x:c r="A12" s="27" t="str">
        <x:v>Chỉ số này dùng để phát hiện quá tải và task P0 chưa xong. Không dùng số lượng task như điểm đóng góp cá nhân; cần xem evidence và độ khó.</x:v>
      </x:c>
      <x:c r="B12" s="27"/>
      <x:c r="C12" s="27"/>
      <x:c r="D12" s="27"/>
      <x:c r="E12" s="27"/>
      <x:c r="F12" s="27"/>
      <x:c r="G12" s="27"/>
      <x:c r="H12" s="27"/>
      <x:c r="I12" s="27"/>
      <x:c r="J12" s="27"/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8" customHeight="1">
      <x:c r="A1" s="2" t="str">
        <x:v>Ma trận RACI</x:v>
      </x:c>
      <x:c r="B1" s="2"/>
      <x:c r="C1" s="2"/>
      <x:c r="D1" s="2"/>
      <x:c r="E1" s="2"/>
      <x:c r="F1" s="2"/>
      <x:c r="G1" s="2"/>
    </x:row>
    <x:row r="2" ht="22" customHeight="1">
      <x:c r="A2" s="3" t="str">
        <x:v>A = accountable, R = responsible, C = consulted, I = informed</x:v>
      </x:c>
      <x:c r="B2" s="3"/>
      <x:c r="C2" s="3"/>
      <x:c r="D2" s="3"/>
      <x:c r="E2" s="3"/>
      <x:c r="F2" s="3"/>
      <x:c r="G2" s="3"/>
    </x:row>
    <x:row r="3">
      <x:c r="A3" s="4"/>
      <x:c r="B3" s="4"/>
      <x:c r="C3" s="4"/>
      <x:c r="D3" s="4"/>
      <x:c r="E3" s="4"/>
      <x:c r="F3" s="4"/>
      <x:c r="G3" s="4"/>
    </x:row>
    <x:row r="4" ht="32" customHeight="1">
      <x:c r="A4" s="10" t="str">
        <x:v>Workstream</x:v>
      </x:c>
      <x:c r="B4" s="10" t="str">
        <x:v>Trí</x:v>
      </x:c>
      <x:c r="C4" s="10" t="str">
        <x:v>Trang</x:v>
      </x:c>
      <x:c r="D4" s="10" t="str">
        <x:v>Tâm</x:v>
      </x:c>
      <x:c r="E4" s="10" t="str">
        <x:v>Vinh</x:v>
      </x:c>
      <x:c r="F4" s="10" t="str">
        <x:v>Trung</x:v>
      </x:c>
      <x:c r="G4" s="10" t="str">
        <x:v>Tuấn</x:v>
      </x:c>
    </x:row>
    <x:row r="5">
      <x:c r="A5" s="13" t="str">
        <x:v>Mobile architecture</x:v>
      </x:c>
      <x:c r="B5" s="28" t="str">
        <x:v>A/R</x:v>
      </x:c>
      <x:c r="C5" s="28" t="str">
        <x:v>C</x:v>
      </x:c>
      <x:c r="D5" s="28" t="str">
        <x:v>C</x:v>
      </x:c>
      <x:c r="E5" s="28" t="str">
        <x:v>I</x:v>
      </x:c>
      <x:c r="F5" s="28" t="str">
        <x:v>I</x:v>
      </x:c>
      <x:c r="G5" s="28" t="str">
        <x:v>C</x:v>
      </x:c>
    </x:row>
    <x:row r="6">
      <x:c r="A6" s="13" t="str">
        <x:v>Backend, auth và sync</x:v>
      </x:c>
      <x:c r="B6" s="28" t="str">
        <x:v>C</x:v>
      </x:c>
      <x:c r="C6" s="28" t="str">
        <x:v>A/R</x:v>
      </x:c>
      <x:c r="D6" s="28" t="str">
        <x:v>C</x:v>
      </x:c>
      <x:c r="E6" s="28" t="str">
        <x:v>C</x:v>
      </x:c>
      <x:c r="F6" s="28" t="str">
        <x:v>I</x:v>
      </x:c>
      <x:c r="G6" s="28" t="str">
        <x:v>I</x:v>
      </x:c>
    </x:row>
    <x:row r="7">
      <x:c r="A7" s="13" t="str">
        <x:v>Data model và migration</x:v>
      </x:c>
      <x:c r="B7" s="28" t="str">
        <x:v>C</x:v>
      </x:c>
      <x:c r="C7" s="28" t="str">
        <x:v>C</x:v>
      </x:c>
      <x:c r="D7" s="28" t="str">
        <x:v>A/R</x:v>
      </x:c>
      <x:c r="E7" s="28" t="str">
        <x:v>R</x:v>
      </x:c>
      <x:c r="F7" s="28" t="str">
        <x:v>I</x:v>
      </x:c>
      <x:c r="G7" s="28" t="str">
        <x:v>I</x:v>
      </x:c>
    </x:row>
    <x:row r="8">
      <x:c r="A8" s="13" t="str">
        <x:v>Import và test data</x:v>
      </x:c>
      <x:c r="B8" s="28" t="str">
        <x:v>C</x:v>
      </x:c>
      <x:c r="C8" s="28" t="str">
        <x:v>C</x:v>
      </x:c>
      <x:c r="D8" s="28" t="str">
        <x:v>R</x:v>
      </x:c>
      <x:c r="E8" s="28" t="str">
        <x:v>A/R</x:v>
      </x:c>
      <x:c r="F8" s="28" t="str">
        <x:v>C</x:v>
      </x:c>
      <x:c r="G8" s="28" t="str">
        <x:v>I</x:v>
      </x:c>
    </x:row>
    <x:row r="9">
      <x:c r="A9" s="13" t="str">
        <x:v>Product, QA và report</x:v>
      </x:c>
      <x:c r="B9" s="28" t="str">
        <x:v>C</x:v>
      </x:c>
      <x:c r="C9" s="28" t="str">
        <x:v>I</x:v>
      </x:c>
      <x:c r="D9" s="28" t="str">
        <x:v>C</x:v>
      </x:c>
      <x:c r="E9" s="28" t="str">
        <x:v>C</x:v>
      </x:c>
      <x:c r="F9" s="28" t="str">
        <x:v>A/R</x:v>
      </x:c>
      <x:c r="G9" s="28" t="str">
        <x:v>R</x:v>
      </x:c>
    </x:row>
    <x:row r="10">
      <x:c r="A10" s="13" t="str">
        <x:v>UI, accessibility và demo</x:v>
      </x:c>
      <x:c r="B10" s="28" t="str">
        <x:v>C</x:v>
      </x:c>
      <x:c r="C10" s="28" t="str">
        <x:v>I</x:v>
      </x:c>
      <x:c r="D10" s="28" t="str">
        <x:v>I</x:v>
      </x:c>
      <x:c r="E10" s="28" t="str">
        <x:v>C</x:v>
      </x:c>
      <x:c r="F10" s="28" t="str">
        <x:v>R</x:v>
      </x:c>
      <x:c r="G10" s="28" t="str">
        <x:v>A/R</x:v>
      </x:c>
    </x:row>
    <x:row r="11">
      <x:c r="A11" s="13" t="str">
        <x:v>Release Android/iOS</x:v>
      </x:c>
      <x:c r="B11" s="28" t="str">
        <x:v>R</x:v>
      </x:c>
      <x:c r="C11" s="28" t="str">
        <x:v>A/R</x:v>
      </x:c>
      <x:c r="D11" s="28" t="str">
        <x:v>C</x:v>
      </x:c>
      <x:c r="E11" s="28" t="str">
        <x:v>I</x:v>
      </x:c>
      <x:c r="F11" s="28" t="str">
        <x:v>C</x:v>
      </x:c>
      <x:c r="G11" s="28" t="str">
        <x:v>R</x:v>
      </x:c>
    </x:row>
    <x:row r="12">
      <x:c r="A12" s="13" t="str">
        <x:v>Submission package</x:v>
      </x:c>
      <x:c r="B12" s="28" t="str">
        <x:v>I</x:v>
      </x:c>
      <x:c r="C12" s="28" t="str">
        <x:v>C</x:v>
      </x:c>
      <x:c r="D12" s="28" t="str">
        <x:v>I</x:v>
      </x:c>
      <x:c r="E12" s="28" t="str">
        <x:v>I</x:v>
      </x:c>
      <x:c r="F12" s="28" t="str">
        <x:v>A/R</x:v>
      </x:c>
      <x:c r="G12" s="28" t="str">
        <x:v>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28bbb6ef4a14e34"/>
  </x:tableParts>
</x:worksheet>
</file>